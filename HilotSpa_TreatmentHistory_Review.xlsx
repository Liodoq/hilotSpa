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Treatment History" sheetId="3" state="visible" r:id="rId5"/>
    <sheet name="Protocol Draft"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<sst xmlns="http://schemas.openxmlformats.org/spreadsheetml/2006/main" count="83" uniqueCount="82">
  <si>
    <t xml:space="preserve">HilotSpa — Treatment History Review</t>
  </si>
  <si>
    <t xml:space="preserve">Desk work. Uses records Hilotin Spa already has. No fieldwork, no scheduling, no stopwatch.</t>
  </si>
  <si>
    <t xml:space="preserve">What this is for</t>
  </si>
  <si>
    <t xml:space="preserve">The spa already records, for each past client, the complaint they presented with and the service they received. That pairing is the single most useful piece of existing data you have.</t>
  </si>
  <si>
    <t xml:space="preserve">Every row is a real decision a real practitioner made: this complaint, that treatment. Aggregate a few hundred of them and you have the evidence base for your ServiceProtocol table — derived from actual practice, not invented by you and not guessed by an AI.</t>
  </si>
  <si>
    <t xml:space="preserve">Three things it gives you</t>
  </si>
  <si>
    <t xml:space="preserve">1. SEED DATA for Sprint 2. The AI's recommendations have to come from somewhere defensible. They come from here, after the spa's practitioner reviews and signs the Protocol Draft tab.</t>
  </si>
  <si>
    <t xml:space="preserve">2. VALIDATION of your paper's 24-item complaint list. If clients routinely present with something not on the list, you want to know before defense, not during it.</t>
  </si>
  <si>
    <t xml:space="preserve">3. A REAL EVALUATION METRIC. In Sprint 4 you can measure how often the AI recommends what a practitioner historically chose for the same complaint. That is a defensible answer to your fourth objective (AI reliability), which the CUQ questionnaire cannot give you on its own.</t>
  </si>
  <si>
    <t xml:space="preserve">What it CANNOT give you</t>
  </si>
  <si>
    <t xml:space="preserve">Durations. These records do not say how long an intake took. Your paper's 10-15 minute claim needs the separate timing study — see the companion workbook, HilotSpa_TimingStudy.xlsx.</t>
  </si>
  <si>
    <t xml:space="preserve">Before you start</t>
  </si>
  <si>
    <t xml:space="preserve">1. Get the owner's permission in writing. This is patient health information; a panel may ask whether you had consent. An email or signed note is enough. Keep it for your appendix.</t>
  </si>
  <si>
    <t xml:space="preserve">2. Record NO names, contact numbers, or addresses. There is deliberately no column for them. You are counting patterns, not building a patient database.</t>
  </si>
  <si>
    <t xml:space="preserve">3. Pick a fixed window FIRST — e.g. the last three complete months — and enter every record in it. Deciding which records to include after seeing them is how bias gets in.</t>
  </si>
  <si>
    <t xml:space="preserve">4. If a record is illegible or ambiguous, mark it 'No' or 'Partly' under Legible rather than skipping it. Illegibility is itself a finding about paper records, and it supports your argument for digitising.</t>
  </si>
  <si>
    <t xml:space="preserve">Then: the Protocol Draft tab</t>
  </si>
  <si>
    <t xml:space="preserve">Once Treatment History is filled in, Protocol Draft counts each complaint automatically. Sit with the spa's bone setter and, for each complaint that actually occurs, record which services are INDICATED and which are CONTRAINDICATED, with a one-line rationale and their name.</t>
  </si>
  <si>
    <t xml:space="preserve">GET IT SIGNED. That signed sheet is a thesis appendix, the seed rows for your ServiceProtocol table, and your answer when a panelist asks how the system excludes unsafe services without giving medical advice: it does not decide anything — it enforces a policy the spa's own practitioner authored and signed.</t>
  </si>
  <si>
    <t xml:space="preserve">How to use this workbook</t>
  </si>
  <si>
    <t xml:space="preserve">YELLOW cells are for you to type in. GREY cells are formulas — leave them alone.</t>
  </si>
  <si>
    <t xml:space="preserve">Row 5 of Treatment History is a green EXAMPLE row. Overwrite it or delete it before you submit.</t>
  </si>
  <si>
    <t xml:space="preserve">The Summary tab writes your Chapter IV sentence as data goes in.</t>
  </si>
  <si>
    <t xml:space="preserve">Treatment History — Summary</t>
  </si>
  <si>
    <t xml:space="preserve">All live formulas. Nothing here needs typing.</t>
  </si>
  <si>
    <t xml:space="preserve">Records reviewed (n)</t>
  </si>
  <si>
    <t xml:space="preserve">Distinct complaints seen</t>
  </si>
  <si>
    <t xml:space="preserve">Illegible / partly legible</t>
  </si>
  <si>
    <t xml:space="preserve">Most common complaint</t>
  </si>
  <si>
    <t xml:space="preserve">Complaints never seen</t>
  </si>
  <si>
    <t xml:space="preserve">Protocols signed off</t>
  </si>
  <si>
    <t xml:space="preserve">Sentence for Chapter IV</t>
  </si>
  <si>
    <t xml:space="preserve">Treatment History — from the spa's existing records</t>
  </si>
  <si>
    <t xml:space="preserve">One row per past client record. No names. 150 rows available — add more by copying a row down.</t>
  </si>
  <si>
    <t xml:space="preserve">Rec #</t>
  </si>
  <si>
    <t xml:space="preserve">Date</t>
  </si>
  <si>
    <t xml:space="preserve">Complaint</t>
  </si>
  <si>
    <t xml:space="preserve">If 'Others', specify</t>
  </si>
  <si>
    <t xml:space="preserve">Service availed</t>
  </si>
  <si>
    <t xml:space="preserve">Legible?</t>
  </si>
  <si>
    <t xml:space="preserve">Notes</t>
  </si>
  <si>
    <t xml:space="preserve">2026-05-04</t>
  </si>
  <si>
    <t xml:space="preserve">Lower Back Pain</t>
  </si>
  <si>
    <t xml:space="preserve">Hilot (60 min)</t>
  </si>
  <si>
    <t xml:space="preserve">Yes</t>
  </si>
  <si>
    <t xml:space="preserve">EXAMPLE ROW - overwrite or delete.</t>
  </si>
  <si>
    <t xml:space="preserve">Service Protocol Draft — for the practitioner to review and sign</t>
  </si>
  <si>
    <t xml:space="preserve">Counts are automatic. Fill columns D-H with the spa's bone setter, then have them sign at the bottom.</t>
  </si>
  <si>
    <t xml:space="preserve">Complaint (Appendix A)</t>
  </si>
  <si>
    <t xml:space="preserve">Times seen</t>
  </si>
  <si>
    <t xml:space="preserve">% of records</t>
  </si>
  <si>
    <t xml:space="preserve">Service(s) historically availed</t>
  </si>
  <si>
    <t xml:space="preserve">Proposed rule</t>
  </si>
  <si>
    <t xml:space="preserve">Rationale</t>
  </si>
  <si>
    <t xml:space="preserve">Authored by</t>
  </si>
  <si>
    <t xml:space="preserve">Signed?</t>
  </si>
  <si>
    <t xml:space="preserve">Neck Pain</t>
  </si>
  <si>
    <t xml:space="preserve">Shoulder Pain</t>
  </si>
  <si>
    <t xml:space="preserve">Upper Back Pain</t>
  </si>
  <si>
    <t xml:space="preserve">Elbow Pain</t>
  </si>
  <si>
    <t xml:space="preserve">Wrist Pain</t>
  </si>
  <si>
    <t xml:space="preserve">Hip Joint Pain</t>
  </si>
  <si>
    <t xml:space="preserve">Knee Pain</t>
  </si>
  <si>
    <t xml:space="preserve">Ankle Pain</t>
  </si>
  <si>
    <t xml:space="preserve">Stiff Neck</t>
  </si>
  <si>
    <t xml:space="preserve">Frozen Shoulder</t>
  </si>
  <si>
    <t xml:space="preserve">Sciatica</t>
  </si>
  <si>
    <t xml:space="preserve">Scoliosis</t>
  </si>
  <si>
    <t xml:space="preserve">Osteoarthritis</t>
  </si>
  <si>
    <t xml:space="preserve">Spondylosis</t>
  </si>
  <si>
    <t xml:space="preserve">Disc Bulge</t>
  </si>
  <si>
    <t xml:space="preserve">Slip Disc</t>
  </si>
  <si>
    <t xml:space="preserve">DDD</t>
  </si>
  <si>
    <t xml:space="preserve">Disc Desiccation</t>
  </si>
  <si>
    <t xml:space="preserve">Stenosis</t>
  </si>
  <si>
    <t xml:space="preserve">Plantar Fasciitis</t>
  </si>
  <si>
    <t xml:space="preserve">Radiculopathy</t>
  </si>
  <si>
    <t xml:space="preserve">CTS</t>
  </si>
  <si>
    <t xml:space="preserve">TMJ Disorder</t>
  </si>
  <si>
    <t xml:space="preserve">Others</t>
  </si>
  <si>
    <t xml:space="preserve">Practitioner signature: ______________________________</t>
  </si>
  <si>
    <t xml:space="preserve">Printed name: ______________________________     Date: ______________</t>
  </si>
</sst>
</file>

<file path=xl/styles.xml><?xml version="1.0" encoding="utf-8"?>
<styleSheet xmlns="http://schemas.openxmlformats.org/spreadsheetml/2006/main">
  <numFmts count="4">
    <numFmt numFmtId="164" formatCode="General"/>
    <numFmt numFmtId="165" formatCode="0"/>
    <numFmt numFmtId="166" formatCode="yyyy\-mm\-dd"/>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4E5F"/>
      <name val="Arial"/>
      <family val="0"/>
      <charset val="1"/>
    </font>
    <font>
      <i val="true"/>
      <sz val="9"/>
      <color rgb="FF666666"/>
      <name val="Arial"/>
      <family val="0"/>
      <charset val="1"/>
    </font>
    <font>
      <b val="true"/>
      <sz val="11"/>
      <color rgb="FF1F4E5F"/>
      <name val="Arial"/>
      <family val="0"/>
      <charset val="1"/>
    </font>
    <font>
      <sz val="10"/>
      <name val="Arial"/>
      <family val="0"/>
      <charset val="1"/>
    </font>
    <font>
      <b val="true"/>
      <sz val="10"/>
      <name val="Arial"/>
      <family val="0"/>
      <charset val="1"/>
    </font>
    <font>
      <i val="true"/>
      <sz val="10"/>
      <name val="Arial"/>
      <family val="0"/>
      <charset val="1"/>
    </font>
    <font>
      <b val="true"/>
      <sz val="10"/>
      <color rgb="FFFFFFFF"/>
      <name val="Arial"/>
      <family val="0"/>
      <charset val="1"/>
    </font>
  </fonts>
  <fills count="6">
    <fill>
      <patternFill patternType="none"/>
    </fill>
    <fill>
      <patternFill patternType="gray125"/>
    </fill>
    <fill>
      <patternFill patternType="solid">
        <fgColor rgb="FF1F4E5F"/>
        <bgColor rgb="FF333333"/>
      </patternFill>
    </fill>
    <fill>
      <patternFill patternType="solid">
        <fgColor rgb="FFE2EFDA"/>
        <bgColor rgb="FFEDEDED"/>
      </patternFill>
    </fill>
    <fill>
      <patternFill patternType="solid">
        <fgColor rgb="FFFFF2CC"/>
        <bgColor rgb="FFEDEDED"/>
      </patternFill>
    </fill>
    <fill>
      <patternFill patternType="solid">
        <fgColor rgb="FFEDEDED"/>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6" fontId="9"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6"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center" vertical="center"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true" applyProtection="false">
      <alignment horizontal="center" vertical="center" textRotation="0" wrapText="false" indent="0" shrinkToFit="false"/>
      <protection locked="true" hidden="false"/>
    </xf>
    <xf numFmtId="167" fontId="7" fillId="5" borderId="1" xfId="0" applyFont="true" applyBorder="true" applyAlignment="true" applyProtection="false">
      <alignment horizontal="center" vertical="center"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66"/>
      <rgbColor rgb="FF969696"/>
      <rgbColor rgb="FF1F4E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4"/>
  </cols>
  <sheetData>
    <row r="1" customFormat="false" ht="17.35" hidden="false" customHeight="false" outlineLevel="0" collapsed="false">
      <c r="B1" s="1" t="s">
        <v>0</v>
      </c>
    </row>
    <row r="2" customFormat="false" ht="15" hidden="false" customHeight="false" outlineLevel="0" collapsed="false">
      <c r="B2" s="2" t="s">
        <v>1</v>
      </c>
    </row>
    <row r="4" customFormat="false" ht="15" hidden="false" customHeight="false" outlineLevel="0" collapsed="false">
      <c r="B4" s="3" t="s">
        <v>2</v>
      </c>
    </row>
    <row r="5" customFormat="false" ht="23.85" hidden="false" customHeight="false" outlineLevel="0" collapsed="false">
      <c r="B5" s="4" t="s">
        <v>3</v>
      </c>
    </row>
    <row r="6" customFormat="false" ht="35.05" hidden="false" customHeight="false" outlineLevel="0" collapsed="false">
      <c r="B6" s="4" t="s">
        <v>4</v>
      </c>
    </row>
    <row r="8" customFormat="false" ht="15" hidden="false" customHeight="false" outlineLevel="0" collapsed="false">
      <c r="B8" s="3" t="s">
        <v>5</v>
      </c>
    </row>
    <row r="9" customFormat="false" ht="23.85" hidden="false" customHeight="false" outlineLevel="0" collapsed="false">
      <c r="B9" s="4" t="s">
        <v>6</v>
      </c>
    </row>
    <row r="10" customFormat="false" ht="23.85" hidden="false" customHeight="false" outlineLevel="0" collapsed="false">
      <c r="B10" s="4" t="s">
        <v>7</v>
      </c>
    </row>
    <row r="11" customFormat="false" ht="35.05" hidden="false" customHeight="false" outlineLevel="0" collapsed="false">
      <c r="B11" s="4" t="s">
        <v>8</v>
      </c>
    </row>
    <row r="13" customFormat="false" ht="15" hidden="false" customHeight="false" outlineLevel="0" collapsed="false">
      <c r="B13" s="3" t="s">
        <v>9</v>
      </c>
    </row>
    <row r="14" customFormat="false" ht="23.85" hidden="false" customHeight="false" outlineLevel="0" collapsed="false">
      <c r="B14" s="4" t="s">
        <v>10</v>
      </c>
    </row>
    <row r="16" customFormat="false" ht="15" hidden="false" customHeight="false" outlineLevel="0" collapsed="false">
      <c r="B16" s="3" t="s">
        <v>11</v>
      </c>
    </row>
    <row r="17" customFormat="false" ht="23.85" hidden="false" customHeight="false" outlineLevel="0" collapsed="false">
      <c r="B17" s="4" t="s">
        <v>12</v>
      </c>
    </row>
    <row r="18" customFormat="false" ht="23.85" hidden="false" customHeight="false" outlineLevel="0" collapsed="false">
      <c r="B18" s="4" t="s">
        <v>13</v>
      </c>
    </row>
    <row r="19" customFormat="false" ht="23.85" hidden="false" customHeight="false" outlineLevel="0" collapsed="false">
      <c r="B19" s="4" t="s">
        <v>14</v>
      </c>
    </row>
    <row r="20" customFormat="false" ht="23.85" hidden="false" customHeight="false" outlineLevel="0" collapsed="false">
      <c r="B20" s="4" t="s">
        <v>15</v>
      </c>
    </row>
    <row r="22" customFormat="false" ht="15" hidden="false" customHeight="false" outlineLevel="0" collapsed="false">
      <c r="B22" s="3" t="s">
        <v>16</v>
      </c>
    </row>
    <row r="23" customFormat="false" ht="35.05" hidden="false" customHeight="false" outlineLevel="0" collapsed="false">
      <c r="B23" s="4" t="s">
        <v>17</v>
      </c>
    </row>
    <row r="24" customFormat="false" ht="35.05" hidden="false" customHeight="false" outlineLevel="0" collapsed="false">
      <c r="B24" s="4" t="s">
        <v>18</v>
      </c>
    </row>
    <row r="26" customFormat="false" ht="15" hidden="false" customHeight="false" outlineLevel="0" collapsed="false">
      <c r="B26" s="3" t="s">
        <v>19</v>
      </c>
    </row>
    <row r="27" customFormat="false" ht="15" hidden="false" customHeight="false" outlineLevel="0" collapsed="false">
      <c r="B27" s="4" t="s">
        <v>20</v>
      </c>
    </row>
    <row r="28" customFormat="false" ht="15" hidden="false" customHeight="false" outlineLevel="0" collapsed="false">
      <c r="B28" s="4" t="s">
        <v>21</v>
      </c>
    </row>
    <row r="29" customFormat="false" ht="15" hidden="false" customHeight="false" outlineLevel="0" collapsed="false">
      <c r="B29" s="4"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7"/>
  </cols>
  <sheetData>
    <row r="1" customFormat="false" ht="17.35" hidden="false" customHeight="false" outlineLevel="0" collapsed="false">
      <c r="A1" s="5" t="s">
        <v>23</v>
      </c>
    </row>
    <row r="2" customFormat="false" ht="15" hidden="false" customHeight="false" outlineLevel="0" collapsed="false">
      <c r="A2" s="6" t="s">
        <v>24</v>
      </c>
    </row>
    <row r="4" customFormat="false" ht="15" hidden="false" customHeight="false" outlineLevel="0" collapsed="false">
      <c r="A4" s="7" t="s">
        <v>25</v>
      </c>
      <c r="B4" s="8" t="n">
        <f aca="false">COUNTA('Treatment History'!$C$5:$C$154)</f>
        <v>1</v>
      </c>
    </row>
    <row r="5" customFormat="false" ht="15" hidden="false" customHeight="false" outlineLevel="0" collapsed="false">
      <c r="A5" s="7" t="s">
        <v>26</v>
      </c>
      <c r="B5" s="8" t="n">
        <f aca="false">SUMPRODUCT(--('Protocol Draft'!$B$5:$B$29&gt;0))</f>
        <v>1</v>
      </c>
    </row>
    <row r="6" customFormat="false" ht="15" hidden="false" customHeight="false" outlineLevel="0" collapsed="false">
      <c r="A6" s="7" t="s">
        <v>27</v>
      </c>
      <c r="B6" s="8" t="n">
        <f aca="false">COUNTIF('Treatment History'!$F$5:$F$154,"No")+COUNTIF('Treatment History'!$F$5:$F$154,"Partly")</f>
        <v>0</v>
      </c>
    </row>
    <row r="7" customFormat="false" ht="15" hidden="false" customHeight="false" outlineLevel="0" collapsed="false">
      <c r="A7" s="7" t="s">
        <v>28</v>
      </c>
      <c r="B7" s="9" t="str">
        <f aca="false">IF(SUM('Protocol Draft'!$B$5:$B$29)=0,"",INDEX('Protocol Draft'!$A$5:$A$29,MATCH(MAX('Protocol Draft'!$B$5:$B$29),'Protocol Draft'!$B$5:$B$29,0)))</f>
        <v>Lower Back Pain</v>
      </c>
    </row>
    <row r="8" customFormat="false" ht="15" hidden="false" customHeight="false" outlineLevel="0" collapsed="false">
      <c r="A8" s="7" t="s">
        <v>29</v>
      </c>
      <c r="B8" s="8" t="n">
        <f aca="false">SUMPRODUCT(--('Protocol Draft'!$B$5:$B$29=0))</f>
        <v>24</v>
      </c>
    </row>
    <row r="9" customFormat="false" ht="15" hidden="false" customHeight="false" outlineLevel="0" collapsed="false">
      <c r="A9" s="7" t="s">
        <v>30</v>
      </c>
      <c r="B9" s="8" t="n">
        <f aca="false">COUNTIF('Protocol Draft'!$H$5:$H$29,"Yes")</f>
        <v>0</v>
      </c>
    </row>
    <row r="11" customFormat="false" ht="15" hidden="false" customHeight="false" outlineLevel="0" collapsed="false">
      <c r="A11" s="10" t="s">
        <v>31</v>
      </c>
    </row>
    <row r="12" customFormat="false" ht="15" hidden="false" customHeight="false" outlineLevel="0" collapsed="false">
      <c r="A12" s="11" t="str">
        <f aca="false">IF($B$4=0,"Enter records in Treatment History to generate this.","A review of "&amp;TEXT($B$4,"0")&amp;" archived treatment records at Hilotin Spa identified "&amp;TEXT($B$5,"0")&amp;" distinct presenting complaints, most frequently "&amp;$B$7&amp;". These records form the evidence base for the service protocols subsequently reviewed and signed by the establishment practitioner.")</f>
        <v>A review of 1 archived treatment records at Hilotin Spa identified 1 distinct presenting complaints, most frequently Lower Back Pain. These records form the evidence base for the service protocols subsequently reviewed and signed by the establishment practitioner.</v>
      </c>
      <c r="B12" s="11"/>
      <c r="C12" s="11"/>
      <c r="D12" s="11"/>
    </row>
    <row r="13" customFormat="false" ht="15" hidden="false" customHeight="false" outlineLevel="0" collapsed="false">
      <c r="A13" s="11"/>
      <c r="B13" s="11"/>
      <c r="C13" s="11"/>
      <c r="D13" s="11"/>
    </row>
    <row r="14" customFormat="false" ht="15" hidden="false" customHeight="false" outlineLevel="0" collapsed="false">
      <c r="A14" s="11"/>
      <c r="B14" s="11"/>
      <c r="C14" s="11"/>
      <c r="D14" s="11"/>
    </row>
  </sheetData>
  <mergeCells count="1">
    <mergeCell ref="A12:D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2"/>
    <col collapsed="false" customWidth="true" hidden="false" outlineLevel="0" max="3" min="3" style="0" width="22"/>
    <col collapsed="false" customWidth="true" hidden="false" outlineLevel="0" max="4" min="4" style="0" width="24"/>
    <col collapsed="false" customWidth="true" hidden="false" outlineLevel="0" max="5" min="5" style="0" width="28"/>
    <col collapsed="false" customWidth="true" hidden="false" outlineLevel="0" max="6" min="6" style="0" width="11"/>
    <col collapsed="false" customWidth="true" hidden="false" outlineLevel="0" max="7" min="7" style="0" width="38"/>
  </cols>
  <sheetData>
    <row r="1" customFormat="false" ht="17.35" hidden="false" customHeight="false" outlineLevel="0" collapsed="false">
      <c r="A1" s="5" t="s">
        <v>32</v>
      </c>
    </row>
    <row r="2" customFormat="false" ht="15" hidden="false" customHeight="false" outlineLevel="0" collapsed="false">
      <c r="A2" s="6" t="s">
        <v>33</v>
      </c>
    </row>
    <row r="4" customFormat="false" ht="15" hidden="false" customHeight="false" outlineLevel="0" collapsed="false">
      <c r="A4" s="12" t="s">
        <v>34</v>
      </c>
      <c r="B4" s="12" t="s">
        <v>35</v>
      </c>
      <c r="C4" s="12" t="s">
        <v>36</v>
      </c>
      <c r="D4" s="12" t="s">
        <v>37</v>
      </c>
      <c r="E4" s="12" t="s">
        <v>38</v>
      </c>
      <c r="F4" s="12" t="s">
        <v>39</v>
      </c>
      <c r="G4" s="12" t="s">
        <v>40</v>
      </c>
    </row>
    <row r="5" customFormat="false" ht="15" hidden="false" customHeight="false" outlineLevel="0" collapsed="false">
      <c r="A5" s="13" t="n">
        <v>1</v>
      </c>
      <c r="B5" s="14" t="s">
        <v>41</v>
      </c>
      <c r="C5" s="13" t="s">
        <v>42</v>
      </c>
      <c r="D5" s="13"/>
      <c r="E5" s="15" t="s">
        <v>43</v>
      </c>
      <c r="F5" s="13" t="s">
        <v>44</v>
      </c>
      <c r="G5" s="15" t="s">
        <v>45</v>
      </c>
    </row>
    <row r="6" customFormat="false" ht="15" hidden="false" customHeight="false" outlineLevel="0" collapsed="false">
      <c r="A6" s="9" t="n">
        <v>2</v>
      </c>
      <c r="B6" s="16"/>
      <c r="C6" s="17"/>
      <c r="D6" s="17"/>
      <c r="E6" s="18"/>
      <c r="F6" s="17"/>
      <c r="G6" s="18"/>
    </row>
    <row r="7" customFormat="false" ht="15" hidden="false" customHeight="false" outlineLevel="0" collapsed="false">
      <c r="A7" s="9" t="n">
        <v>3</v>
      </c>
      <c r="B7" s="16"/>
      <c r="C7" s="17"/>
      <c r="D7" s="17"/>
      <c r="E7" s="18"/>
      <c r="F7" s="17"/>
      <c r="G7" s="18"/>
    </row>
    <row r="8" customFormat="false" ht="15" hidden="false" customHeight="false" outlineLevel="0" collapsed="false">
      <c r="A8" s="9" t="n">
        <v>4</v>
      </c>
      <c r="B8" s="16"/>
      <c r="C8" s="17"/>
      <c r="D8" s="17"/>
      <c r="E8" s="18"/>
      <c r="F8" s="17"/>
      <c r="G8" s="18"/>
    </row>
    <row r="9" customFormat="false" ht="15" hidden="false" customHeight="false" outlineLevel="0" collapsed="false">
      <c r="A9" s="9" t="n">
        <v>5</v>
      </c>
      <c r="B9" s="16"/>
      <c r="C9" s="17"/>
      <c r="D9" s="17"/>
      <c r="E9" s="18"/>
      <c r="F9" s="17"/>
      <c r="G9" s="18"/>
    </row>
    <row r="10" customFormat="false" ht="15" hidden="false" customHeight="false" outlineLevel="0" collapsed="false">
      <c r="A10" s="9" t="n">
        <v>6</v>
      </c>
      <c r="B10" s="16"/>
      <c r="C10" s="17"/>
      <c r="D10" s="17"/>
      <c r="E10" s="18"/>
      <c r="F10" s="17"/>
      <c r="G10" s="18"/>
    </row>
    <row r="11" customFormat="false" ht="15" hidden="false" customHeight="false" outlineLevel="0" collapsed="false">
      <c r="A11" s="9" t="n">
        <v>7</v>
      </c>
      <c r="B11" s="16"/>
      <c r="C11" s="17"/>
      <c r="D11" s="17"/>
      <c r="E11" s="18"/>
      <c r="F11" s="17"/>
      <c r="G11" s="18"/>
    </row>
    <row r="12" customFormat="false" ht="15" hidden="false" customHeight="false" outlineLevel="0" collapsed="false">
      <c r="A12" s="9" t="n">
        <v>8</v>
      </c>
      <c r="B12" s="16"/>
      <c r="C12" s="17"/>
      <c r="D12" s="17"/>
      <c r="E12" s="18"/>
      <c r="F12" s="17"/>
      <c r="G12" s="18"/>
    </row>
    <row r="13" customFormat="false" ht="15" hidden="false" customHeight="false" outlineLevel="0" collapsed="false">
      <c r="A13" s="9" t="n">
        <v>9</v>
      </c>
      <c r="B13" s="16"/>
      <c r="C13" s="17"/>
      <c r="D13" s="17"/>
      <c r="E13" s="18"/>
      <c r="F13" s="17"/>
      <c r="G13" s="18"/>
    </row>
    <row r="14" customFormat="false" ht="15" hidden="false" customHeight="false" outlineLevel="0" collapsed="false">
      <c r="A14" s="9" t="n">
        <v>10</v>
      </c>
      <c r="B14" s="16"/>
      <c r="C14" s="17"/>
      <c r="D14" s="17"/>
      <c r="E14" s="18"/>
      <c r="F14" s="17"/>
      <c r="G14" s="18"/>
    </row>
    <row r="15" customFormat="false" ht="15" hidden="false" customHeight="false" outlineLevel="0" collapsed="false">
      <c r="A15" s="9" t="n">
        <v>11</v>
      </c>
      <c r="B15" s="16"/>
      <c r="C15" s="17"/>
      <c r="D15" s="17"/>
      <c r="E15" s="18"/>
      <c r="F15" s="17"/>
      <c r="G15" s="18"/>
    </row>
    <row r="16" customFormat="false" ht="15" hidden="false" customHeight="false" outlineLevel="0" collapsed="false">
      <c r="A16" s="9" t="n">
        <v>12</v>
      </c>
      <c r="B16" s="16"/>
      <c r="C16" s="17"/>
      <c r="D16" s="17"/>
      <c r="E16" s="18"/>
      <c r="F16" s="17"/>
      <c r="G16" s="18"/>
    </row>
    <row r="17" customFormat="false" ht="15" hidden="false" customHeight="false" outlineLevel="0" collapsed="false">
      <c r="A17" s="9" t="n">
        <v>13</v>
      </c>
      <c r="B17" s="16"/>
      <c r="C17" s="17"/>
      <c r="D17" s="17"/>
      <c r="E17" s="18"/>
      <c r="F17" s="17"/>
      <c r="G17" s="18"/>
    </row>
    <row r="18" customFormat="false" ht="15" hidden="false" customHeight="false" outlineLevel="0" collapsed="false">
      <c r="A18" s="9" t="n">
        <v>14</v>
      </c>
      <c r="B18" s="16"/>
      <c r="C18" s="17"/>
      <c r="D18" s="17"/>
      <c r="E18" s="18"/>
      <c r="F18" s="17"/>
      <c r="G18" s="18"/>
    </row>
    <row r="19" customFormat="false" ht="15" hidden="false" customHeight="false" outlineLevel="0" collapsed="false">
      <c r="A19" s="9" t="n">
        <v>15</v>
      </c>
      <c r="B19" s="16"/>
      <c r="C19" s="17"/>
      <c r="D19" s="17"/>
      <c r="E19" s="18"/>
      <c r="F19" s="17"/>
      <c r="G19" s="18"/>
    </row>
    <row r="20" customFormat="false" ht="15" hidden="false" customHeight="false" outlineLevel="0" collapsed="false">
      <c r="A20" s="9" t="n">
        <v>16</v>
      </c>
      <c r="B20" s="16"/>
      <c r="C20" s="17"/>
      <c r="D20" s="17"/>
      <c r="E20" s="18"/>
      <c r="F20" s="17"/>
      <c r="G20" s="18"/>
    </row>
    <row r="21" customFormat="false" ht="15" hidden="false" customHeight="false" outlineLevel="0" collapsed="false">
      <c r="A21" s="9" t="n">
        <v>17</v>
      </c>
      <c r="B21" s="16"/>
      <c r="C21" s="17"/>
      <c r="D21" s="17"/>
      <c r="E21" s="18"/>
      <c r="F21" s="17"/>
      <c r="G21" s="18"/>
    </row>
    <row r="22" customFormat="false" ht="15" hidden="false" customHeight="false" outlineLevel="0" collapsed="false">
      <c r="A22" s="9" t="n">
        <v>18</v>
      </c>
      <c r="B22" s="16"/>
      <c r="C22" s="17"/>
      <c r="D22" s="17"/>
      <c r="E22" s="18"/>
      <c r="F22" s="17"/>
      <c r="G22" s="18"/>
    </row>
    <row r="23" customFormat="false" ht="15" hidden="false" customHeight="false" outlineLevel="0" collapsed="false">
      <c r="A23" s="9" t="n">
        <v>19</v>
      </c>
      <c r="B23" s="16"/>
      <c r="C23" s="17"/>
      <c r="D23" s="17"/>
      <c r="E23" s="18"/>
      <c r="F23" s="17"/>
      <c r="G23" s="18"/>
    </row>
    <row r="24" customFormat="false" ht="15" hidden="false" customHeight="false" outlineLevel="0" collapsed="false">
      <c r="A24" s="9" t="n">
        <v>20</v>
      </c>
      <c r="B24" s="16"/>
      <c r="C24" s="17"/>
      <c r="D24" s="17"/>
      <c r="E24" s="18"/>
      <c r="F24" s="17"/>
      <c r="G24" s="18"/>
    </row>
    <row r="25" customFormat="false" ht="15" hidden="false" customHeight="false" outlineLevel="0" collapsed="false">
      <c r="A25" s="9" t="n">
        <v>21</v>
      </c>
      <c r="B25" s="16"/>
      <c r="C25" s="17"/>
      <c r="D25" s="17"/>
      <c r="E25" s="18"/>
      <c r="F25" s="17"/>
      <c r="G25" s="18"/>
    </row>
    <row r="26" customFormat="false" ht="15" hidden="false" customHeight="false" outlineLevel="0" collapsed="false">
      <c r="A26" s="9" t="n">
        <v>22</v>
      </c>
      <c r="B26" s="16"/>
      <c r="C26" s="17"/>
      <c r="D26" s="17"/>
      <c r="E26" s="18"/>
      <c r="F26" s="17"/>
      <c r="G26" s="18"/>
    </row>
    <row r="27" customFormat="false" ht="15" hidden="false" customHeight="false" outlineLevel="0" collapsed="false">
      <c r="A27" s="9" t="n">
        <v>23</v>
      </c>
      <c r="B27" s="16"/>
      <c r="C27" s="17"/>
      <c r="D27" s="17"/>
      <c r="E27" s="18"/>
      <c r="F27" s="17"/>
      <c r="G27" s="18"/>
    </row>
    <row r="28" customFormat="false" ht="15" hidden="false" customHeight="false" outlineLevel="0" collapsed="false">
      <c r="A28" s="9" t="n">
        <v>24</v>
      </c>
      <c r="B28" s="16"/>
      <c r="C28" s="17"/>
      <c r="D28" s="17"/>
      <c r="E28" s="18"/>
      <c r="F28" s="17"/>
      <c r="G28" s="18"/>
    </row>
    <row r="29" customFormat="false" ht="15" hidden="false" customHeight="false" outlineLevel="0" collapsed="false">
      <c r="A29" s="9" t="n">
        <v>25</v>
      </c>
      <c r="B29" s="16"/>
      <c r="C29" s="17"/>
      <c r="D29" s="17"/>
      <c r="E29" s="18"/>
      <c r="F29" s="17"/>
      <c r="G29" s="18"/>
    </row>
    <row r="30" customFormat="false" ht="15" hidden="false" customHeight="false" outlineLevel="0" collapsed="false">
      <c r="A30" s="9" t="n">
        <v>26</v>
      </c>
      <c r="B30" s="16"/>
      <c r="C30" s="17"/>
      <c r="D30" s="17"/>
      <c r="E30" s="18"/>
      <c r="F30" s="17"/>
      <c r="G30" s="18"/>
    </row>
    <row r="31" customFormat="false" ht="15" hidden="false" customHeight="false" outlineLevel="0" collapsed="false">
      <c r="A31" s="9" t="n">
        <v>27</v>
      </c>
      <c r="B31" s="16"/>
      <c r="C31" s="17"/>
      <c r="D31" s="17"/>
      <c r="E31" s="18"/>
      <c r="F31" s="17"/>
      <c r="G31" s="18"/>
    </row>
    <row r="32" customFormat="false" ht="15" hidden="false" customHeight="false" outlineLevel="0" collapsed="false">
      <c r="A32" s="9" t="n">
        <v>28</v>
      </c>
      <c r="B32" s="16"/>
      <c r="C32" s="17"/>
      <c r="D32" s="17"/>
      <c r="E32" s="18"/>
      <c r="F32" s="17"/>
      <c r="G32" s="18"/>
    </row>
    <row r="33" customFormat="false" ht="15" hidden="false" customHeight="false" outlineLevel="0" collapsed="false">
      <c r="A33" s="9" t="n">
        <v>29</v>
      </c>
      <c r="B33" s="16"/>
      <c r="C33" s="17"/>
      <c r="D33" s="17"/>
      <c r="E33" s="18"/>
      <c r="F33" s="17"/>
      <c r="G33" s="18"/>
    </row>
    <row r="34" customFormat="false" ht="15" hidden="false" customHeight="false" outlineLevel="0" collapsed="false">
      <c r="A34" s="9" t="n">
        <v>30</v>
      </c>
      <c r="B34" s="16"/>
      <c r="C34" s="17"/>
      <c r="D34" s="17"/>
      <c r="E34" s="18"/>
      <c r="F34" s="17"/>
      <c r="G34" s="18"/>
    </row>
    <row r="35" customFormat="false" ht="15" hidden="false" customHeight="false" outlineLevel="0" collapsed="false">
      <c r="A35" s="9" t="n">
        <v>31</v>
      </c>
      <c r="B35" s="16"/>
      <c r="C35" s="17"/>
      <c r="D35" s="17"/>
      <c r="E35" s="18"/>
      <c r="F35" s="17"/>
      <c r="G35" s="18"/>
    </row>
    <row r="36" customFormat="false" ht="15" hidden="false" customHeight="false" outlineLevel="0" collapsed="false">
      <c r="A36" s="9" t="n">
        <v>32</v>
      </c>
      <c r="B36" s="16"/>
      <c r="C36" s="17"/>
      <c r="D36" s="17"/>
      <c r="E36" s="18"/>
      <c r="F36" s="17"/>
      <c r="G36" s="18"/>
    </row>
    <row r="37" customFormat="false" ht="15" hidden="false" customHeight="false" outlineLevel="0" collapsed="false">
      <c r="A37" s="9" t="n">
        <v>33</v>
      </c>
      <c r="B37" s="16"/>
      <c r="C37" s="17"/>
      <c r="D37" s="17"/>
      <c r="E37" s="18"/>
      <c r="F37" s="17"/>
      <c r="G37" s="18"/>
    </row>
    <row r="38" customFormat="false" ht="15" hidden="false" customHeight="false" outlineLevel="0" collapsed="false">
      <c r="A38" s="9" t="n">
        <v>34</v>
      </c>
      <c r="B38" s="16"/>
      <c r="C38" s="17"/>
      <c r="D38" s="17"/>
      <c r="E38" s="18"/>
      <c r="F38" s="17"/>
      <c r="G38" s="18"/>
    </row>
    <row r="39" customFormat="false" ht="15" hidden="false" customHeight="false" outlineLevel="0" collapsed="false">
      <c r="A39" s="9" t="n">
        <v>35</v>
      </c>
      <c r="B39" s="16"/>
      <c r="C39" s="17"/>
      <c r="D39" s="17"/>
      <c r="E39" s="18"/>
      <c r="F39" s="17"/>
      <c r="G39" s="18"/>
    </row>
    <row r="40" customFormat="false" ht="15" hidden="false" customHeight="false" outlineLevel="0" collapsed="false">
      <c r="A40" s="9" t="n">
        <v>36</v>
      </c>
      <c r="B40" s="16"/>
      <c r="C40" s="17"/>
      <c r="D40" s="17"/>
      <c r="E40" s="18"/>
      <c r="F40" s="17"/>
      <c r="G40" s="18"/>
    </row>
    <row r="41" customFormat="false" ht="15" hidden="false" customHeight="false" outlineLevel="0" collapsed="false">
      <c r="A41" s="9" t="n">
        <v>37</v>
      </c>
      <c r="B41" s="16"/>
      <c r="C41" s="17"/>
      <c r="D41" s="17"/>
      <c r="E41" s="18"/>
      <c r="F41" s="17"/>
      <c r="G41" s="18"/>
    </row>
    <row r="42" customFormat="false" ht="15" hidden="false" customHeight="false" outlineLevel="0" collapsed="false">
      <c r="A42" s="9" t="n">
        <v>38</v>
      </c>
      <c r="B42" s="16"/>
      <c r="C42" s="17"/>
      <c r="D42" s="17"/>
      <c r="E42" s="18"/>
      <c r="F42" s="17"/>
      <c r="G42" s="18"/>
    </row>
    <row r="43" customFormat="false" ht="15" hidden="false" customHeight="false" outlineLevel="0" collapsed="false">
      <c r="A43" s="9" t="n">
        <v>39</v>
      </c>
      <c r="B43" s="16"/>
      <c r="C43" s="17"/>
      <c r="D43" s="17"/>
      <c r="E43" s="18"/>
      <c r="F43" s="17"/>
      <c r="G43" s="18"/>
    </row>
    <row r="44" customFormat="false" ht="15" hidden="false" customHeight="false" outlineLevel="0" collapsed="false">
      <c r="A44" s="9" t="n">
        <v>40</v>
      </c>
      <c r="B44" s="16"/>
      <c r="C44" s="17"/>
      <c r="D44" s="17"/>
      <c r="E44" s="18"/>
      <c r="F44" s="17"/>
      <c r="G44" s="18"/>
    </row>
    <row r="45" customFormat="false" ht="15" hidden="false" customHeight="false" outlineLevel="0" collapsed="false">
      <c r="A45" s="9" t="n">
        <v>41</v>
      </c>
      <c r="B45" s="16"/>
      <c r="C45" s="17"/>
      <c r="D45" s="17"/>
      <c r="E45" s="18"/>
      <c r="F45" s="17"/>
      <c r="G45" s="18"/>
    </row>
    <row r="46" customFormat="false" ht="15" hidden="false" customHeight="false" outlineLevel="0" collapsed="false">
      <c r="A46" s="9" t="n">
        <v>42</v>
      </c>
      <c r="B46" s="16"/>
      <c r="C46" s="17"/>
      <c r="D46" s="17"/>
      <c r="E46" s="18"/>
      <c r="F46" s="17"/>
      <c r="G46" s="18"/>
    </row>
    <row r="47" customFormat="false" ht="15" hidden="false" customHeight="false" outlineLevel="0" collapsed="false">
      <c r="A47" s="9" t="n">
        <v>43</v>
      </c>
      <c r="B47" s="16"/>
      <c r="C47" s="17"/>
      <c r="D47" s="17"/>
      <c r="E47" s="18"/>
      <c r="F47" s="17"/>
      <c r="G47" s="18"/>
    </row>
    <row r="48" customFormat="false" ht="15" hidden="false" customHeight="false" outlineLevel="0" collapsed="false">
      <c r="A48" s="9" t="n">
        <v>44</v>
      </c>
      <c r="B48" s="16"/>
      <c r="C48" s="17"/>
      <c r="D48" s="17"/>
      <c r="E48" s="18"/>
      <c r="F48" s="17"/>
      <c r="G48" s="18"/>
    </row>
    <row r="49" customFormat="false" ht="15" hidden="false" customHeight="false" outlineLevel="0" collapsed="false">
      <c r="A49" s="9" t="n">
        <v>45</v>
      </c>
      <c r="B49" s="16"/>
      <c r="C49" s="17"/>
      <c r="D49" s="17"/>
      <c r="E49" s="18"/>
      <c r="F49" s="17"/>
      <c r="G49" s="18"/>
    </row>
    <row r="50" customFormat="false" ht="15" hidden="false" customHeight="false" outlineLevel="0" collapsed="false">
      <c r="A50" s="9" t="n">
        <v>46</v>
      </c>
      <c r="B50" s="16"/>
      <c r="C50" s="17"/>
      <c r="D50" s="17"/>
      <c r="E50" s="18"/>
      <c r="F50" s="17"/>
      <c r="G50" s="18"/>
    </row>
    <row r="51" customFormat="false" ht="15" hidden="false" customHeight="false" outlineLevel="0" collapsed="false">
      <c r="A51" s="9" t="n">
        <v>47</v>
      </c>
      <c r="B51" s="16"/>
      <c r="C51" s="17"/>
      <c r="D51" s="17"/>
      <c r="E51" s="18"/>
      <c r="F51" s="17"/>
      <c r="G51" s="18"/>
    </row>
    <row r="52" customFormat="false" ht="15" hidden="false" customHeight="false" outlineLevel="0" collapsed="false">
      <c r="A52" s="9" t="n">
        <v>48</v>
      </c>
      <c r="B52" s="16"/>
      <c r="C52" s="17"/>
      <c r="D52" s="17"/>
      <c r="E52" s="18"/>
      <c r="F52" s="17"/>
      <c r="G52" s="18"/>
    </row>
    <row r="53" customFormat="false" ht="15" hidden="false" customHeight="false" outlineLevel="0" collapsed="false">
      <c r="A53" s="9" t="n">
        <v>49</v>
      </c>
      <c r="B53" s="16"/>
      <c r="C53" s="17"/>
      <c r="D53" s="17"/>
      <c r="E53" s="18"/>
      <c r="F53" s="17"/>
      <c r="G53" s="18"/>
    </row>
    <row r="54" customFormat="false" ht="15" hidden="false" customHeight="false" outlineLevel="0" collapsed="false">
      <c r="A54" s="9" t="n">
        <v>50</v>
      </c>
      <c r="B54" s="16"/>
      <c r="C54" s="17"/>
      <c r="D54" s="17"/>
      <c r="E54" s="18"/>
      <c r="F54" s="17"/>
      <c r="G54" s="18"/>
    </row>
    <row r="55" customFormat="false" ht="15" hidden="false" customHeight="false" outlineLevel="0" collapsed="false">
      <c r="A55" s="9" t="n">
        <v>51</v>
      </c>
      <c r="B55" s="16"/>
      <c r="C55" s="17"/>
      <c r="D55" s="17"/>
      <c r="E55" s="18"/>
      <c r="F55" s="17"/>
      <c r="G55" s="18"/>
    </row>
    <row r="56" customFormat="false" ht="15" hidden="false" customHeight="false" outlineLevel="0" collapsed="false">
      <c r="A56" s="9" t="n">
        <v>52</v>
      </c>
      <c r="B56" s="16"/>
      <c r="C56" s="17"/>
      <c r="D56" s="17"/>
      <c r="E56" s="18"/>
      <c r="F56" s="17"/>
      <c r="G56" s="18"/>
    </row>
    <row r="57" customFormat="false" ht="15" hidden="false" customHeight="false" outlineLevel="0" collapsed="false">
      <c r="A57" s="9" t="n">
        <v>53</v>
      </c>
      <c r="B57" s="16"/>
      <c r="C57" s="17"/>
      <c r="D57" s="17"/>
      <c r="E57" s="18"/>
      <c r="F57" s="17"/>
      <c r="G57" s="18"/>
    </row>
    <row r="58" customFormat="false" ht="15" hidden="false" customHeight="false" outlineLevel="0" collapsed="false">
      <c r="A58" s="9" t="n">
        <v>54</v>
      </c>
      <c r="B58" s="16"/>
      <c r="C58" s="17"/>
      <c r="D58" s="17"/>
      <c r="E58" s="18"/>
      <c r="F58" s="17"/>
      <c r="G58" s="18"/>
    </row>
    <row r="59" customFormat="false" ht="15" hidden="false" customHeight="false" outlineLevel="0" collapsed="false">
      <c r="A59" s="9" t="n">
        <v>55</v>
      </c>
      <c r="B59" s="16"/>
      <c r="C59" s="17"/>
      <c r="D59" s="17"/>
      <c r="E59" s="18"/>
      <c r="F59" s="17"/>
      <c r="G59" s="18"/>
    </row>
    <row r="60" customFormat="false" ht="15" hidden="false" customHeight="false" outlineLevel="0" collapsed="false">
      <c r="A60" s="9" t="n">
        <v>56</v>
      </c>
      <c r="B60" s="16"/>
      <c r="C60" s="17"/>
      <c r="D60" s="17"/>
      <c r="E60" s="18"/>
      <c r="F60" s="17"/>
      <c r="G60" s="18"/>
    </row>
    <row r="61" customFormat="false" ht="15" hidden="false" customHeight="false" outlineLevel="0" collapsed="false">
      <c r="A61" s="9" t="n">
        <v>57</v>
      </c>
      <c r="B61" s="16"/>
      <c r="C61" s="17"/>
      <c r="D61" s="17"/>
      <c r="E61" s="18"/>
      <c r="F61" s="17"/>
      <c r="G61" s="18"/>
    </row>
    <row r="62" customFormat="false" ht="15" hidden="false" customHeight="false" outlineLevel="0" collapsed="false">
      <c r="A62" s="9" t="n">
        <v>58</v>
      </c>
      <c r="B62" s="16"/>
      <c r="C62" s="17"/>
      <c r="D62" s="17"/>
      <c r="E62" s="18"/>
      <c r="F62" s="17"/>
      <c r="G62" s="18"/>
    </row>
    <row r="63" customFormat="false" ht="15" hidden="false" customHeight="false" outlineLevel="0" collapsed="false">
      <c r="A63" s="9" t="n">
        <v>59</v>
      </c>
      <c r="B63" s="16"/>
      <c r="C63" s="17"/>
      <c r="D63" s="17"/>
      <c r="E63" s="18"/>
      <c r="F63" s="17"/>
      <c r="G63" s="18"/>
    </row>
    <row r="64" customFormat="false" ht="15" hidden="false" customHeight="false" outlineLevel="0" collapsed="false">
      <c r="A64" s="9" t="n">
        <v>60</v>
      </c>
      <c r="B64" s="16"/>
      <c r="C64" s="17"/>
      <c r="D64" s="17"/>
      <c r="E64" s="18"/>
      <c r="F64" s="17"/>
      <c r="G64" s="18"/>
    </row>
    <row r="65" customFormat="false" ht="15" hidden="false" customHeight="false" outlineLevel="0" collapsed="false">
      <c r="A65" s="9" t="n">
        <v>61</v>
      </c>
      <c r="B65" s="16"/>
      <c r="C65" s="17"/>
      <c r="D65" s="17"/>
      <c r="E65" s="18"/>
      <c r="F65" s="17"/>
      <c r="G65" s="18"/>
    </row>
    <row r="66" customFormat="false" ht="15" hidden="false" customHeight="false" outlineLevel="0" collapsed="false">
      <c r="A66" s="9" t="n">
        <v>62</v>
      </c>
      <c r="B66" s="16"/>
      <c r="C66" s="17"/>
      <c r="D66" s="17"/>
      <c r="E66" s="18"/>
      <c r="F66" s="17"/>
      <c r="G66" s="18"/>
    </row>
    <row r="67" customFormat="false" ht="15" hidden="false" customHeight="false" outlineLevel="0" collapsed="false">
      <c r="A67" s="9" t="n">
        <v>63</v>
      </c>
      <c r="B67" s="16"/>
      <c r="C67" s="17"/>
      <c r="D67" s="17"/>
      <c r="E67" s="18"/>
      <c r="F67" s="17"/>
      <c r="G67" s="18"/>
    </row>
    <row r="68" customFormat="false" ht="15" hidden="false" customHeight="false" outlineLevel="0" collapsed="false">
      <c r="A68" s="9" t="n">
        <v>64</v>
      </c>
      <c r="B68" s="16"/>
      <c r="C68" s="17"/>
      <c r="D68" s="17"/>
      <c r="E68" s="18"/>
      <c r="F68" s="17"/>
      <c r="G68" s="18"/>
    </row>
    <row r="69" customFormat="false" ht="15" hidden="false" customHeight="false" outlineLevel="0" collapsed="false">
      <c r="A69" s="9" t="n">
        <v>65</v>
      </c>
      <c r="B69" s="16"/>
      <c r="C69" s="17"/>
      <c r="D69" s="17"/>
      <c r="E69" s="18"/>
      <c r="F69" s="17"/>
      <c r="G69" s="18"/>
    </row>
    <row r="70" customFormat="false" ht="15" hidden="false" customHeight="false" outlineLevel="0" collapsed="false">
      <c r="A70" s="9" t="n">
        <v>66</v>
      </c>
      <c r="B70" s="16"/>
      <c r="C70" s="17"/>
      <c r="D70" s="17"/>
      <c r="E70" s="18"/>
      <c r="F70" s="17"/>
      <c r="G70" s="18"/>
    </row>
    <row r="71" customFormat="false" ht="15" hidden="false" customHeight="false" outlineLevel="0" collapsed="false">
      <c r="A71" s="9" t="n">
        <v>67</v>
      </c>
      <c r="B71" s="16"/>
      <c r="C71" s="17"/>
      <c r="D71" s="17"/>
      <c r="E71" s="18"/>
      <c r="F71" s="17"/>
      <c r="G71" s="18"/>
    </row>
    <row r="72" customFormat="false" ht="15" hidden="false" customHeight="false" outlineLevel="0" collapsed="false">
      <c r="A72" s="9" t="n">
        <v>68</v>
      </c>
      <c r="B72" s="16"/>
      <c r="C72" s="17"/>
      <c r="D72" s="17"/>
      <c r="E72" s="18"/>
      <c r="F72" s="17"/>
      <c r="G72" s="18"/>
    </row>
    <row r="73" customFormat="false" ht="15" hidden="false" customHeight="false" outlineLevel="0" collapsed="false">
      <c r="A73" s="9" t="n">
        <v>69</v>
      </c>
      <c r="B73" s="16"/>
      <c r="C73" s="17"/>
      <c r="D73" s="17"/>
      <c r="E73" s="18"/>
      <c r="F73" s="17"/>
      <c r="G73" s="18"/>
    </row>
    <row r="74" customFormat="false" ht="15" hidden="false" customHeight="false" outlineLevel="0" collapsed="false">
      <c r="A74" s="9" t="n">
        <v>70</v>
      </c>
      <c r="B74" s="16"/>
      <c r="C74" s="17"/>
      <c r="D74" s="17"/>
      <c r="E74" s="18"/>
      <c r="F74" s="17"/>
      <c r="G74" s="18"/>
    </row>
    <row r="75" customFormat="false" ht="15" hidden="false" customHeight="false" outlineLevel="0" collapsed="false">
      <c r="A75" s="9" t="n">
        <v>71</v>
      </c>
      <c r="B75" s="16"/>
      <c r="C75" s="17"/>
      <c r="D75" s="17"/>
      <c r="E75" s="18"/>
      <c r="F75" s="17"/>
      <c r="G75" s="18"/>
    </row>
    <row r="76" customFormat="false" ht="15" hidden="false" customHeight="false" outlineLevel="0" collapsed="false">
      <c r="A76" s="9" t="n">
        <v>72</v>
      </c>
      <c r="B76" s="16"/>
      <c r="C76" s="17"/>
      <c r="D76" s="17"/>
      <c r="E76" s="18"/>
      <c r="F76" s="17"/>
      <c r="G76" s="18"/>
    </row>
    <row r="77" customFormat="false" ht="15" hidden="false" customHeight="false" outlineLevel="0" collapsed="false">
      <c r="A77" s="9" t="n">
        <v>73</v>
      </c>
      <c r="B77" s="16"/>
      <c r="C77" s="17"/>
      <c r="D77" s="17"/>
      <c r="E77" s="18"/>
      <c r="F77" s="17"/>
      <c r="G77" s="18"/>
    </row>
    <row r="78" customFormat="false" ht="15" hidden="false" customHeight="false" outlineLevel="0" collapsed="false">
      <c r="A78" s="9" t="n">
        <v>74</v>
      </c>
      <c r="B78" s="16"/>
      <c r="C78" s="17"/>
      <c r="D78" s="17"/>
      <c r="E78" s="18"/>
      <c r="F78" s="17"/>
      <c r="G78" s="18"/>
    </row>
    <row r="79" customFormat="false" ht="15" hidden="false" customHeight="false" outlineLevel="0" collapsed="false">
      <c r="A79" s="9" t="n">
        <v>75</v>
      </c>
      <c r="B79" s="16"/>
      <c r="C79" s="17"/>
      <c r="D79" s="17"/>
      <c r="E79" s="18"/>
      <c r="F79" s="17"/>
      <c r="G79" s="18"/>
    </row>
    <row r="80" customFormat="false" ht="15" hidden="false" customHeight="false" outlineLevel="0" collapsed="false">
      <c r="A80" s="9" t="n">
        <v>76</v>
      </c>
      <c r="B80" s="16"/>
      <c r="C80" s="17"/>
      <c r="D80" s="17"/>
      <c r="E80" s="18"/>
      <c r="F80" s="17"/>
      <c r="G80" s="18"/>
    </row>
    <row r="81" customFormat="false" ht="15" hidden="false" customHeight="false" outlineLevel="0" collapsed="false">
      <c r="A81" s="9" t="n">
        <v>77</v>
      </c>
      <c r="B81" s="16"/>
      <c r="C81" s="17"/>
      <c r="D81" s="17"/>
      <c r="E81" s="18"/>
      <c r="F81" s="17"/>
      <c r="G81" s="18"/>
    </row>
    <row r="82" customFormat="false" ht="15" hidden="false" customHeight="false" outlineLevel="0" collapsed="false">
      <c r="A82" s="9" t="n">
        <v>78</v>
      </c>
      <c r="B82" s="16"/>
      <c r="C82" s="17"/>
      <c r="D82" s="17"/>
      <c r="E82" s="18"/>
      <c r="F82" s="17"/>
      <c r="G82" s="18"/>
    </row>
    <row r="83" customFormat="false" ht="15" hidden="false" customHeight="false" outlineLevel="0" collapsed="false">
      <c r="A83" s="9" t="n">
        <v>79</v>
      </c>
      <c r="B83" s="16"/>
      <c r="C83" s="17"/>
      <c r="D83" s="17"/>
      <c r="E83" s="18"/>
      <c r="F83" s="17"/>
      <c r="G83" s="18"/>
    </row>
    <row r="84" customFormat="false" ht="15" hidden="false" customHeight="false" outlineLevel="0" collapsed="false">
      <c r="A84" s="9" t="n">
        <v>80</v>
      </c>
      <c r="B84" s="16"/>
      <c r="C84" s="17"/>
      <c r="D84" s="17"/>
      <c r="E84" s="18"/>
      <c r="F84" s="17"/>
      <c r="G84" s="18"/>
    </row>
    <row r="85" customFormat="false" ht="15" hidden="false" customHeight="false" outlineLevel="0" collapsed="false">
      <c r="A85" s="9" t="n">
        <v>81</v>
      </c>
      <c r="B85" s="16"/>
      <c r="C85" s="17"/>
      <c r="D85" s="17"/>
      <c r="E85" s="18"/>
      <c r="F85" s="17"/>
      <c r="G85" s="18"/>
    </row>
    <row r="86" customFormat="false" ht="15" hidden="false" customHeight="false" outlineLevel="0" collapsed="false">
      <c r="A86" s="9" t="n">
        <v>82</v>
      </c>
      <c r="B86" s="16"/>
      <c r="C86" s="17"/>
      <c r="D86" s="17"/>
      <c r="E86" s="18"/>
      <c r="F86" s="17"/>
      <c r="G86" s="18"/>
    </row>
    <row r="87" customFormat="false" ht="15" hidden="false" customHeight="false" outlineLevel="0" collapsed="false">
      <c r="A87" s="9" t="n">
        <v>83</v>
      </c>
      <c r="B87" s="16"/>
      <c r="C87" s="17"/>
      <c r="D87" s="17"/>
      <c r="E87" s="18"/>
      <c r="F87" s="17"/>
      <c r="G87" s="18"/>
    </row>
    <row r="88" customFormat="false" ht="15" hidden="false" customHeight="false" outlineLevel="0" collapsed="false">
      <c r="A88" s="9" t="n">
        <v>84</v>
      </c>
      <c r="B88" s="16"/>
      <c r="C88" s="17"/>
      <c r="D88" s="17"/>
      <c r="E88" s="18"/>
      <c r="F88" s="17"/>
      <c r="G88" s="18"/>
    </row>
    <row r="89" customFormat="false" ht="15" hidden="false" customHeight="false" outlineLevel="0" collapsed="false">
      <c r="A89" s="9" t="n">
        <v>85</v>
      </c>
      <c r="B89" s="16"/>
      <c r="C89" s="17"/>
      <c r="D89" s="17"/>
      <c r="E89" s="18"/>
      <c r="F89" s="17"/>
      <c r="G89" s="18"/>
    </row>
    <row r="90" customFormat="false" ht="15" hidden="false" customHeight="false" outlineLevel="0" collapsed="false">
      <c r="A90" s="9" t="n">
        <v>86</v>
      </c>
      <c r="B90" s="16"/>
      <c r="C90" s="17"/>
      <c r="D90" s="17"/>
      <c r="E90" s="18"/>
      <c r="F90" s="17"/>
      <c r="G90" s="18"/>
    </row>
    <row r="91" customFormat="false" ht="15" hidden="false" customHeight="false" outlineLevel="0" collapsed="false">
      <c r="A91" s="9" t="n">
        <v>87</v>
      </c>
      <c r="B91" s="16"/>
      <c r="C91" s="17"/>
      <c r="D91" s="17"/>
      <c r="E91" s="18"/>
      <c r="F91" s="17"/>
      <c r="G91" s="18"/>
    </row>
    <row r="92" customFormat="false" ht="15" hidden="false" customHeight="false" outlineLevel="0" collapsed="false">
      <c r="A92" s="9" t="n">
        <v>88</v>
      </c>
      <c r="B92" s="16"/>
      <c r="C92" s="17"/>
      <c r="D92" s="17"/>
      <c r="E92" s="18"/>
      <c r="F92" s="17"/>
      <c r="G92" s="18"/>
    </row>
    <row r="93" customFormat="false" ht="15" hidden="false" customHeight="false" outlineLevel="0" collapsed="false">
      <c r="A93" s="9" t="n">
        <v>89</v>
      </c>
      <c r="B93" s="16"/>
      <c r="C93" s="17"/>
      <c r="D93" s="17"/>
      <c r="E93" s="18"/>
      <c r="F93" s="17"/>
      <c r="G93" s="18"/>
    </row>
    <row r="94" customFormat="false" ht="15" hidden="false" customHeight="false" outlineLevel="0" collapsed="false">
      <c r="A94" s="9" t="n">
        <v>90</v>
      </c>
      <c r="B94" s="16"/>
      <c r="C94" s="17"/>
      <c r="D94" s="17"/>
      <c r="E94" s="18"/>
      <c r="F94" s="17"/>
      <c r="G94" s="18"/>
    </row>
    <row r="95" customFormat="false" ht="15" hidden="false" customHeight="false" outlineLevel="0" collapsed="false">
      <c r="A95" s="9" t="n">
        <v>91</v>
      </c>
      <c r="B95" s="16"/>
      <c r="C95" s="17"/>
      <c r="D95" s="17"/>
      <c r="E95" s="18"/>
      <c r="F95" s="17"/>
      <c r="G95" s="18"/>
    </row>
    <row r="96" customFormat="false" ht="15" hidden="false" customHeight="false" outlineLevel="0" collapsed="false">
      <c r="A96" s="9" t="n">
        <v>92</v>
      </c>
      <c r="B96" s="16"/>
      <c r="C96" s="17"/>
      <c r="D96" s="17"/>
      <c r="E96" s="18"/>
      <c r="F96" s="17"/>
      <c r="G96" s="18"/>
    </row>
    <row r="97" customFormat="false" ht="15" hidden="false" customHeight="false" outlineLevel="0" collapsed="false">
      <c r="A97" s="9" t="n">
        <v>93</v>
      </c>
      <c r="B97" s="16"/>
      <c r="C97" s="17"/>
      <c r="D97" s="17"/>
      <c r="E97" s="18"/>
      <c r="F97" s="17"/>
      <c r="G97" s="18"/>
    </row>
    <row r="98" customFormat="false" ht="15" hidden="false" customHeight="false" outlineLevel="0" collapsed="false">
      <c r="A98" s="9" t="n">
        <v>94</v>
      </c>
      <c r="B98" s="16"/>
      <c r="C98" s="17"/>
      <c r="D98" s="17"/>
      <c r="E98" s="18"/>
      <c r="F98" s="17"/>
      <c r="G98" s="18"/>
    </row>
    <row r="99" customFormat="false" ht="15" hidden="false" customHeight="false" outlineLevel="0" collapsed="false">
      <c r="A99" s="9" t="n">
        <v>95</v>
      </c>
      <c r="B99" s="16"/>
      <c r="C99" s="17"/>
      <c r="D99" s="17"/>
      <c r="E99" s="18"/>
      <c r="F99" s="17"/>
      <c r="G99" s="18"/>
    </row>
    <row r="100" customFormat="false" ht="15" hidden="false" customHeight="false" outlineLevel="0" collapsed="false">
      <c r="A100" s="9" t="n">
        <v>96</v>
      </c>
      <c r="B100" s="16"/>
      <c r="C100" s="17"/>
      <c r="D100" s="17"/>
      <c r="E100" s="18"/>
      <c r="F100" s="17"/>
      <c r="G100" s="18"/>
    </row>
    <row r="101" customFormat="false" ht="15" hidden="false" customHeight="false" outlineLevel="0" collapsed="false">
      <c r="A101" s="9" t="n">
        <v>97</v>
      </c>
      <c r="B101" s="16"/>
      <c r="C101" s="17"/>
      <c r="D101" s="17"/>
      <c r="E101" s="18"/>
      <c r="F101" s="17"/>
      <c r="G101" s="18"/>
    </row>
    <row r="102" customFormat="false" ht="15" hidden="false" customHeight="false" outlineLevel="0" collapsed="false">
      <c r="A102" s="9" t="n">
        <v>98</v>
      </c>
      <c r="B102" s="16"/>
      <c r="C102" s="17"/>
      <c r="D102" s="17"/>
      <c r="E102" s="18"/>
      <c r="F102" s="17"/>
      <c r="G102" s="18"/>
    </row>
    <row r="103" customFormat="false" ht="15" hidden="false" customHeight="false" outlineLevel="0" collapsed="false">
      <c r="A103" s="9" t="n">
        <v>99</v>
      </c>
      <c r="B103" s="16"/>
      <c r="C103" s="17"/>
      <c r="D103" s="17"/>
      <c r="E103" s="18"/>
      <c r="F103" s="17"/>
      <c r="G103" s="18"/>
    </row>
    <row r="104" customFormat="false" ht="15" hidden="false" customHeight="false" outlineLevel="0" collapsed="false">
      <c r="A104" s="9" t="n">
        <v>100</v>
      </c>
      <c r="B104" s="16"/>
      <c r="C104" s="17"/>
      <c r="D104" s="17"/>
      <c r="E104" s="18"/>
      <c r="F104" s="17"/>
      <c r="G104" s="18"/>
    </row>
    <row r="105" customFormat="false" ht="15" hidden="false" customHeight="false" outlineLevel="0" collapsed="false">
      <c r="A105" s="9" t="n">
        <v>101</v>
      </c>
      <c r="B105" s="16"/>
      <c r="C105" s="17"/>
      <c r="D105" s="17"/>
      <c r="E105" s="18"/>
      <c r="F105" s="17"/>
      <c r="G105" s="18"/>
    </row>
    <row r="106" customFormat="false" ht="15" hidden="false" customHeight="false" outlineLevel="0" collapsed="false">
      <c r="A106" s="9" t="n">
        <v>102</v>
      </c>
      <c r="B106" s="16"/>
      <c r="C106" s="17"/>
      <c r="D106" s="17"/>
      <c r="E106" s="18"/>
      <c r="F106" s="17"/>
      <c r="G106" s="18"/>
    </row>
    <row r="107" customFormat="false" ht="15" hidden="false" customHeight="false" outlineLevel="0" collapsed="false">
      <c r="A107" s="9" t="n">
        <v>103</v>
      </c>
      <c r="B107" s="16"/>
      <c r="C107" s="17"/>
      <c r="D107" s="17"/>
      <c r="E107" s="18"/>
      <c r="F107" s="17"/>
      <c r="G107" s="18"/>
    </row>
    <row r="108" customFormat="false" ht="15" hidden="false" customHeight="false" outlineLevel="0" collapsed="false">
      <c r="A108" s="9" t="n">
        <v>104</v>
      </c>
      <c r="B108" s="16"/>
      <c r="C108" s="17"/>
      <c r="D108" s="17"/>
      <c r="E108" s="18"/>
      <c r="F108" s="17"/>
      <c r="G108" s="18"/>
    </row>
    <row r="109" customFormat="false" ht="15" hidden="false" customHeight="false" outlineLevel="0" collapsed="false">
      <c r="A109" s="9" t="n">
        <v>105</v>
      </c>
      <c r="B109" s="16"/>
      <c r="C109" s="17"/>
      <c r="D109" s="17"/>
      <c r="E109" s="18"/>
      <c r="F109" s="17"/>
      <c r="G109" s="18"/>
    </row>
    <row r="110" customFormat="false" ht="15" hidden="false" customHeight="false" outlineLevel="0" collapsed="false">
      <c r="A110" s="9" t="n">
        <v>106</v>
      </c>
      <c r="B110" s="16"/>
      <c r="C110" s="17"/>
      <c r="D110" s="17"/>
      <c r="E110" s="18"/>
      <c r="F110" s="17"/>
      <c r="G110" s="18"/>
    </row>
    <row r="111" customFormat="false" ht="15" hidden="false" customHeight="false" outlineLevel="0" collapsed="false">
      <c r="A111" s="9" t="n">
        <v>107</v>
      </c>
      <c r="B111" s="16"/>
      <c r="C111" s="17"/>
      <c r="D111" s="17"/>
      <c r="E111" s="18"/>
      <c r="F111" s="17"/>
      <c r="G111" s="18"/>
    </row>
    <row r="112" customFormat="false" ht="15" hidden="false" customHeight="false" outlineLevel="0" collapsed="false">
      <c r="A112" s="9" t="n">
        <v>108</v>
      </c>
      <c r="B112" s="16"/>
      <c r="C112" s="17"/>
      <c r="D112" s="17"/>
      <c r="E112" s="18"/>
      <c r="F112" s="17"/>
      <c r="G112" s="18"/>
    </row>
    <row r="113" customFormat="false" ht="15" hidden="false" customHeight="false" outlineLevel="0" collapsed="false">
      <c r="A113" s="9" t="n">
        <v>109</v>
      </c>
      <c r="B113" s="16"/>
      <c r="C113" s="17"/>
      <c r="D113" s="17"/>
      <c r="E113" s="18"/>
      <c r="F113" s="17"/>
      <c r="G113" s="18"/>
    </row>
    <row r="114" customFormat="false" ht="15" hidden="false" customHeight="false" outlineLevel="0" collapsed="false">
      <c r="A114" s="9" t="n">
        <v>110</v>
      </c>
      <c r="B114" s="16"/>
      <c r="C114" s="17"/>
      <c r="D114" s="17"/>
      <c r="E114" s="18"/>
      <c r="F114" s="17"/>
      <c r="G114" s="18"/>
    </row>
    <row r="115" customFormat="false" ht="15" hidden="false" customHeight="false" outlineLevel="0" collapsed="false">
      <c r="A115" s="9" t="n">
        <v>111</v>
      </c>
      <c r="B115" s="16"/>
      <c r="C115" s="17"/>
      <c r="D115" s="17"/>
      <c r="E115" s="18"/>
      <c r="F115" s="17"/>
      <c r="G115" s="18"/>
    </row>
    <row r="116" customFormat="false" ht="15" hidden="false" customHeight="false" outlineLevel="0" collapsed="false">
      <c r="A116" s="9" t="n">
        <v>112</v>
      </c>
      <c r="B116" s="16"/>
      <c r="C116" s="17"/>
      <c r="D116" s="17"/>
      <c r="E116" s="18"/>
      <c r="F116" s="17"/>
      <c r="G116" s="18"/>
    </row>
    <row r="117" customFormat="false" ht="15" hidden="false" customHeight="false" outlineLevel="0" collapsed="false">
      <c r="A117" s="9" t="n">
        <v>113</v>
      </c>
      <c r="B117" s="16"/>
      <c r="C117" s="17"/>
      <c r="D117" s="17"/>
      <c r="E117" s="18"/>
      <c r="F117" s="17"/>
      <c r="G117" s="18"/>
    </row>
    <row r="118" customFormat="false" ht="15" hidden="false" customHeight="false" outlineLevel="0" collapsed="false">
      <c r="A118" s="9" t="n">
        <v>114</v>
      </c>
      <c r="B118" s="16"/>
      <c r="C118" s="17"/>
      <c r="D118" s="17"/>
      <c r="E118" s="18"/>
      <c r="F118" s="17"/>
      <c r="G118" s="18"/>
    </row>
    <row r="119" customFormat="false" ht="15" hidden="false" customHeight="false" outlineLevel="0" collapsed="false">
      <c r="A119" s="9" t="n">
        <v>115</v>
      </c>
      <c r="B119" s="16"/>
      <c r="C119" s="17"/>
      <c r="D119" s="17"/>
      <c r="E119" s="18"/>
      <c r="F119" s="17"/>
      <c r="G119" s="18"/>
    </row>
    <row r="120" customFormat="false" ht="15" hidden="false" customHeight="false" outlineLevel="0" collapsed="false">
      <c r="A120" s="9" t="n">
        <v>116</v>
      </c>
      <c r="B120" s="16"/>
      <c r="C120" s="17"/>
      <c r="D120" s="17"/>
      <c r="E120" s="18"/>
      <c r="F120" s="17"/>
      <c r="G120" s="18"/>
    </row>
    <row r="121" customFormat="false" ht="15" hidden="false" customHeight="false" outlineLevel="0" collapsed="false">
      <c r="A121" s="9" t="n">
        <v>117</v>
      </c>
      <c r="B121" s="16"/>
      <c r="C121" s="17"/>
      <c r="D121" s="17"/>
      <c r="E121" s="18"/>
      <c r="F121" s="17"/>
      <c r="G121" s="18"/>
    </row>
    <row r="122" customFormat="false" ht="15" hidden="false" customHeight="false" outlineLevel="0" collapsed="false">
      <c r="A122" s="9" t="n">
        <v>118</v>
      </c>
      <c r="B122" s="16"/>
      <c r="C122" s="17"/>
      <c r="D122" s="17"/>
      <c r="E122" s="18"/>
      <c r="F122" s="17"/>
      <c r="G122" s="18"/>
    </row>
    <row r="123" customFormat="false" ht="15" hidden="false" customHeight="false" outlineLevel="0" collapsed="false">
      <c r="A123" s="9" t="n">
        <v>119</v>
      </c>
      <c r="B123" s="16"/>
      <c r="C123" s="17"/>
      <c r="D123" s="17"/>
      <c r="E123" s="18"/>
      <c r="F123" s="17"/>
      <c r="G123" s="18"/>
    </row>
    <row r="124" customFormat="false" ht="15" hidden="false" customHeight="false" outlineLevel="0" collapsed="false">
      <c r="A124" s="9" t="n">
        <v>120</v>
      </c>
      <c r="B124" s="16"/>
      <c r="C124" s="17"/>
      <c r="D124" s="17"/>
      <c r="E124" s="18"/>
      <c r="F124" s="17"/>
      <c r="G124" s="18"/>
    </row>
    <row r="125" customFormat="false" ht="15" hidden="false" customHeight="false" outlineLevel="0" collapsed="false">
      <c r="A125" s="9" t="n">
        <v>121</v>
      </c>
      <c r="B125" s="16"/>
      <c r="C125" s="17"/>
      <c r="D125" s="17"/>
      <c r="E125" s="18"/>
      <c r="F125" s="17"/>
      <c r="G125" s="18"/>
    </row>
    <row r="126" customFormat="false" ht="15" hidden="false" customHeight="false" outlineLevel="0" collapsed="false">
      <c r="A126" s="9" t="n">
        <v>122</v>
      </c>
      <c r="B126" s="16"/>
      <c r="C126" s="17"/>
      <c r="D126" s="17"/>
      <c r="E126" s="18"/>
      <c r="F126" s="17"/>
      <c r="G126" s="18"/>
    </row>
    <row r="127" customFormat="false" ht="15" hidden="false" customHeight="false" outlineLevel="0" collapsed="false">
      <c r="A127" s="9" t="n">
        <v>123</v>
      </c>
      <c r="B127" s="16"/>
      <c r="C127" s="17"/>
      <c r="D127" s="17"/>
      <c r="E127" s="18"/>
      <c r="F127" s="17"/>
      <c r="G127" s="18"/>
    </row>
    <row r="128" customFormat="false" ht="15" hidden="false" customHeight="false" outlineLevel="0" collapsed="false">
      <c r="A128" s="9" t="n">
        <v>124</v>
      </c>
      <c r="B128" s="16"/>
      <c r="C128" s="17"/>
      <c r="D128" s="17"/>
      <c r="E128" s="18"/>
      <c r="F128" s="17"/>
      <c r="G128" s="18"/>
    </row>
    <row r="129" customFormat="false" ht="15" hidden="false" customHeight="false" outlineLevel="0" collapsed="false">
      <c r="A129" s="9" t="n">
        <v>125</v>
      </c>
      <c r="B129" s="16"/>
      <c r="C129" s="17"/>
      <c r="D129" s="17"/>
      <c r="E129" s="18"/>
      <c r="F129" s="17"/>
      <c r="G129" s="18"/>
    </row>
    <row r="130" customFormat="false" ht="15" hidden="false" customHeight="false" outlineLevel="0" collapsed="false">
      <c r="A130" s="9" t="n">
        <v>126</v>
      </c>
      <c r="B130" s="16"/>
      <c r="C130" s="17"/>
      <c r="D130" s="17"/>
      <c r="E130" s="18"/>
      <c r="F130" s="17"/>
      <c r="G130" s="18"/>
    </row>
    <row r="131" customFormat="false" ht="15" hidden="false" customHeight="false" outlineLevel="0" collapsed="false">
      <c r="A131" s="9" t="n">
        <v>127</v>
      </c>
      <c r="B131" s="16"/>
      <c r="C131" s="17"/>
      <c r="D131" s="17"/>
      <c r="E131" s="18"/>
      <c r="F131" s="17"/>
      <c r="G131" s="18"/>
    </row>
    <row r="132" customFormat="false" ht="15" hidden="false" customHeight="false" outlineLevel="0" collapsed="false">
      <c r="A132" s="9" t="n">
        <v>128</v>
      </c>
      <c r="B132" s="16"/>
      <c r="C132" s="17"/>
      <c r="D132" s="17"/>
      <c r="E132" s="18"/>
      <c r="F132" s="17"/>
      <c r="G132" s="18"/>
    </row>
    <row r="133" customFormat="false" ht="15" hidden="false" customHeight="false" outlineLevel="0" collapsed="false">
      <c r="A133" s="9" t="n">
        <v>129</v>
      </c>
      <c r="B133" s="16"/>
      <c r="C133" s="17"/>
      <c r="D133" s="17"/>
      <c r="E133" s="18"/>
      <c r="F133" s="17"/>
      <c r="G133" s="18"/>
    </row>
    <row r="134" customFormat="false" ht="15" hidden="false" customHeight="false" outlineLevel="0" collapsed="false">
      <c r="A134" s="9" t="n">
        <v>130</v>
      </c>
      <c r="B134" s="16"/>
      <c r="C134" s="17"/>
      <c r="D134" s="17"/>
      <c r="E134" s="18"/>
      <c r="F134" s="17"/>
      <c r="G134" s="18"/>
    </row>
    <row r="135" customFormat="false" ht="15" hidden="false" customHeight="false" outlineLevel="0" collapsed="false">
      <c r="A135" s="9" t="n">
        <v>131</v>
      </c>
      <c r="B135" s="16"/>
      <c r="C135" s="17"/>
      <c r="D135" s="17"/>
      <c r="E135" s="18"/>
      <c r="F135" s="17"/>
      <c r="G135" s="18"/>
    </row>
    <row r="136" customFormat="false" ht="15" hidden="false" customHeight="false" outlineLevel="0" collapsed="false">
      <c r="A136" s="9" t="n">
        <v>132</v>
      </c>
      <c r="B136" s="16"/>
      <c r="C136" s="17"/>
      <c r="D136" s="17"/>
      <c r="E136" s="18"/>
      <c r="F136" s="17"/>
      <c r="G136" s="18"/>
    </row>
    <row r="137" customFormat="false" ht="15" hidden="false" customHeight="false" outlineLevel="0" collapsed="false">
      <c r="A137" s="9" t="n">
        <v>133</v>
      </c>
      <c r="B137" s="16"/>
      <c r="C137" s="17"/>
      <c r="D137" s="17"/>
      <c r="E137" s="18"/>
      <c r="F137" s="17"/>
      <c r="G137" s="18"/>
    </row>
    <row r="138" customFormat="false" ht="15" hidden="false" customHeight="false" outlineLevel="0" collapsed="false">
      <c r="A138" s="9" t="n">
        <v>134</v>
      </c>
      <c r="B138" s="16"/>
      <c r="C138" s="17"/>
      <c r="D138" s="17"/>
      <c r="E138" s="18"/>
      <c r="F138" s="17"/>
      <c r="G138" s="18"/>
    </row>
    <row r="139" customFormat="false" ht="15" hidden="false" customHeight="false" outlineLevel="0" collapsed="false">
      <c r="A139" s="9" t="n">
        <v>135</v>
      </c>
      <c r="B139" s="16"/>
      <c r="C139" s="17"/>
      <c r="D139" s="17"/>
      <c r="E139" s="18"/>
      <c r="F139" s="17"/>
      <c r="G139" s="18"/>
    </row>
    <row r="140" customFormat="false" ht="15" hidden="false" customHeight="false" outlineLevel="0" collapsed="false">
      <c r="A140" s="9" t="n">
        <v>136</v>
      </c>
      <c r="B140" s="16"/>
      <c r="C140" s="17"/>
      <c r="D140" s="17"/>
      <c r="E140" s="18"/>
      <c r="F140" s="17"/>
      <c r="G140" s="18"/>
    </row>
    <row r="141" customFormat="false" ht="15" hidden="false" customHeight="false" outlineLevel="0" collapsed="false">
      <c r="A141" s="9" t="n">
        <v>137</v>
      </c>
      <c r="B141" s="16"/>
      <c r="C141" s="17"/>
      <c r="D141" s="17"/>
      <c r="E141" s="18"/>
      <c r="F141" s="17"/>
      <c r="G141" s="18"/>
    </row>
    <row r="142" customFormat="false" ht="15" hidden="false" customHeight="false" outlineLevel="0" collapsed="false">
      <c r="A142" s="9" t="n">
        <v>138</v>
      </c>
      <c r="B142" s="16"/>
      <c r="C142" s="17"/>
      <c r="D142" s="17"/>
      <c r="E142" s="18"/>
      <c r="F142" s="17"/>
      <c r="G142" s="18"/>
    </row>
    <row r="143" customFormat="false" ht="15" hidden="false" customHeight="false" outlineLevel="0" collapsed="false">
      <c r="A143" s="9" t="n">
        <v>139</v>
      </c>
      <c r="B143" s="16"/>
      <c r="C143" s="17"/>
      <c r="D143" s="17"/>
      <c r="E143" s="18"/>
      <c r="F143" s="17"/>
      <c r="G143" s="18"/>
    </row>
    <row r="144" customFormat="false" ht="15" hidden="false" customHeight="false" outlineLevel="0" collapsed="false">
      <c r="A144" s="9" t="n">
        <v>140</v>
      </c>
      <c r="B144" s="16"/>
      <c r="C144" s="17"/>
      <c r="D144" s="17"/>
      <c r="E144" s="18"/>
      <c r="F144" s="17"/>
      <c r="G144" s="18"/>
    </row>
    <row r="145" customFormat="false" ht="15" hidden="false" customHeight="false" outlineLevel="0" collapsed="false">
      <c r="A145" s="9" t="n">
        <v>141</v>
      </c>
      <c r="B145" s="16"/>
      <c r="C145" s="17"/>
      <c r="D145" s="17"/>
      <c r="E145" s="18"/>
      <c r="F145" s="17"/>
      <c r="G145" s="18"/>
    </row>
    <row r="146" customFormat="false" ht="15" hidden="false" customHeight="false" outlineLevel="0" collapsed="false">
      <c r="A146" s="9" t="n">
        <v>142</v>
      </c>
      <c r="B146" s="16"/>
      <c r="C146" s="17"/>
      <c r="D146" s="17"/>
      <c r="E146" s="18"/>
      <c r="F146" s="17"/>
      <c r="G146" s="18"/>
    </row>
    <row r="147" customFormat="false" ht="15" hidden="false" customHeight="false" outlineLevel="0" collapsed="false">
      <c r="A147" s="9" t="n">
        <v>143</v>
      </c>
      <c r="B147" s="16"/>
      <c r="C147" s="17"/>
      <c r="D147" s="17"/>
      <c r="E147" s="18"/>
      <c r="F147" s="17"/>
      <c r="G147" s="18"/>
    </row>
    <row r="148" customFormat="false" ht="15" hidden="false" customHeight="false" outlineLevel="0" collapsed="false">
      <c r="A148" s="9" t="n">
        <v>144</v>
      </c>
      <c r="B148" s="16"/>
      <c r="C148" s="17"/>
      <c r="D148" s="17"/>
      <c r="E148" s="18"/>
      <c r="F148" s="17"/>
      <c r="G148" s="18"/>
    </row>
    <row r="149" customFormat="false" ht="15" hidden="false" customHeight="false" outlineLevel="0" collapsed="false">
      <c r="A149" s="9" t="n">
        <v>145</v>
      </c>
      <c r="B149" s="16"/>
      <c r="C149" s="17"/>
      <c r="D149" s="17"/>
      <c r="E149" s="18"/>
      <c r="F149" s="17"/>
      <c r="G149" s="18"/>
    </row>
    <row r="150" customFormat="false" ht="15" hidden="false" customHeight="false" outlineLevel="0" collapsed="false">
      <c r="A150" s="9" t="n">
        <v>146</v>
      </c>
      <c r="B150" s="16"/>
      <c r="C150" s="17"/>
      <c r="D150" s="17"/>
      <c r="E150" s="18"/>
      <c r="F150" s="17"/>
      <c r="G150" s="18"/>
    </row>
    <row r="151" customFormat="false" ht="15" hidden="false" customHeight="false" outlineLevel="0" collapsed="false">
      <c r="A151" s="9" t="n">
        <v>147</v>
      </c>
      <c r="B151" s="16"/>
      <c r="C151" s="17"/>
      <c r="D151" s="17"/>
      <c r="E151" s="18"/>
      <c r="F151" s="17"/>
      <c r="G151" s="18"/>
    </row>
    <row r="152" customFormat="false" ht="15" hidden="false" customHeight="false" outlineLevel="0" collapsed="false">
      <c r="A152" s="9" t="n">
        <v>148</v>
      </c>
      <c r="B152" s="16"/>
      <c r="C152" s="17"/>
      <c r="D152" s="17"/>
      <c r="E152" s="18"/>
      <c r="F152" s="17"/>
      <c r="G152" s="18"/>
    </row>
    <row r="153" customFormat="false" ht="15" hidden="false" customHeight="false" outlineLevel="0" collapsed="false">
      <c r="A153" s="9" t="n">
        <v>149</v>
      </c>
      <c r="B153" s="16"/>
      <c r="C153" s="17"/>
      <c r="D153" s="17"/>
      <c r="E153" s="18"/>
      <c r="F153" s="17"/>
      <c r="G153" s="18"/>
    </row>
    <row r="154" customFormat="false" ht="15" hidden="false" customHeight="false" outlineLevel="0" collapsed="false">
      <c r="A154" s="9" t="n">
        <v>150</v>
      </c>
      <c r="B154" s="16"/>
      <c r="C154" s="17"/>
      <c r="D154" s="17"/>
      <c r="E154" s="18"/>
      <c r="F154" s="17"/>
      <c r="G154" s="18"/>
    </row>
  </sheetData>
  <dataValidations count="2">
    <dataValidation allowBlank="true" errorStyle="stop" operator="between" showDropDown="false" showErrorMessage="false" showInputMessage="false" sqref="C5:C154" type="list">
      <formula1>"Neck Pain,Shoulder Pain,Upper Back Pain,Lower Back Pain,Elbow Pain,Wrist Pain,Hip Joint Pain,Knee Pain,Ankle Pain,Stiff Neck,Frozen Shoulder,Sciatica,Scoliosis,Osteoarthritis,Spondylosis,Disc Bulge,Slip Disc,DDD,Disc Desiccation,Stenosis,Plantar Fasciitis"</formula1>
      <formula2>0</formula2>
    </dataValidation>
    <dataValidation allowBlank="true" errorStyle="stop" operator="between" showDropDown="false" showErrorMessage="false" showInputMessage="false" sqref="F5:F154" type="list">
      <formula1>"Yes,Partly,No"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13"/>
    <col collapsed="false" customWidth="true" hidden="false" outlineLevel="0" max="4" min="4" style="0" width="30"/>
    <col collapsed="false" customWidth="true" hidden="false" outlineLevel="0" max="5" min="5" style="0" width="20"/>
    <col collapsed="false" customWidth="true" hidden="false" outlineLevel="0" max="6" min="6" style="0" width="38"/>
    <col collapsed="false" customWidth="true" hidden="false" outlineLevel="0" max="7" min="7" style="0" width="18"/>
    <col collapsed="false" customWidth="true" hidden="false" outlineLevel="0" max="8" min="8" style="0" width="10"/>
  </cols>
  <sheetData>
    <row r="1" customFormat="false" ht="17.35" hidden="false" customHeight="false" outlineLevel="0" collapsed="false">
      <c r="A1" s="5" t="s">
        <v>46</v>
      </c>
    </row>
    <row r="2" customFormat="false" ht="15" hidden="false" customHeight="false" outlineLevel="0" collapsed="false">
      <c r="A2" s="6" t="s">
        <v>47</v>
      </c>
    </row>
    <row r="4" customFormat="false" ht="15" hidden="false" customHeight="false" outlineLevel="0" collapsed="false">
      <c r="A4" s="12" t="s">
        <v>48</v>
      </c>
      <c r="B4" s="12" t="s">
        <v>49</v>
      </c>
      <c r="C4" s="12" t="s">
        <v>50</v>
      </c>
      <c r="D4" s="12" t="s">
        <v>51</v>
      </c>
      <c r="E4" s="12" t="s">
        <v>52</v>
      </c>
      <c r="F4" s="12" t="s">
        <v>53</v>
      </c>
      <c r="G4" s="12" t="s">
        <v>54</v>
      </c>
      <c r="H4" s="12" t="s">
        <v>55</v>
      </c>
    </row>
    <row r="5" customFormat="false" ht="15" hidden="false" customHeight="false" outlineLevel="0" collapsed="false">
      <c r="A5" s="19" t="s">
        <v>56</v>
      </c>
      <c r="B5" s="20" t="n">
        <f aca="false">COUNTIF('Treatment History'!$C$5:$C$154,$A5)</f>
        <v>0</v>
      </c>
      <c r="C5" s="21" t="n">
        <f aca="false">IF(COUNTA('Treatment History'!$C$5:$C$154)=0,"",$B5/COUNTA('Treatment History'!$C$5:$C$154))</f>
        <v>0</v>
      </c>
      <c r="D5" s="18"/>
      <c r="E5" s="17"/>
      <c r="F5" s="18"/>
      <c r="G5" s="17"/>
      <c r="H5" s="17"/>
    </row>
    <row r="6" customFormat="false" ht="15" hidden="false" customHeight="false" outlineLevel="0" collapsed="false">
      <c r="A6" s="19" t="s">
        <v>57</v>
      </c>
      <c r="B6" s="20" t="n">
        <f aca="false">COUNTIF('Treatment History'!$C$5:$C$154,$A6)</f>
        <v>0</v>
      </c>
      <c r="C6" s="21" t="n">
        <f aca="false">IF(COUNTA('Treatment History'!$C$5:$C$154)=0,"",$B6/COUNTA('Treatment History'!$C$5:$C$154))</f>
        <v>0</v>
      </c>
      <c r="D6" s="18"/>
      <c r="E6" s="17"/>
      <c r="F6" s="18"/>
      <c r="G6" s="17"/>
      <c r="H6" s="17"/>
    </row>
    <row r="7" customFormat="false" ht="15" hidden="false" customHeight="false" outlineLevel="0" collapsed="false">
      <c r="A7" s="19" t="s">
        <v>58</v>
      </c>
      <c r="B7" s="20" t="n">
        <f aca="false">COUNTIF('Treatment History'!$C$5:$C$154,$A7)</f>
        <v>0</v>
      </c>
      <c r="C7" s="21" t="n">
        <f aca="false">IF(COUNTA('Treatment History'!$C$5:$C$154)=0,"",$B7/COUNTA('Treatment History'!$C$5:$C$154))</f>
        <v>0</v>
      </c>
      <c r="D7" s="18"/>
      <c r="E7" s="17"/>
      <c r="F7" s="18"/>
      <c r="G7" s="17"/>
      <c r="H7" s="17"/>
    </row>
    <row r="8" customFormat="false" ht="15" hidden="false" customHeight="false" outlineLevel="0" collapsed="false">
      <c r="A8" s="19" t="s">
        <v>42</v>
      </c>
      <c r="B8" s="20" t="n">
        <f aca="false">COUNTIF('Treatment History'!$C$5:$C$154,$A8)</f>
        <v>1</v>
      </c>
      <c r="C8" s="21" t="n">
        <f aca="false">IF(COUNTA('Treatment History'!$C$5:$C$154)=0,"",$B8/COUNTA('Treatment History'!$C$5:$C$154))</f>
        <v>1</v>
      </c>
      <c r="D8" s="18"/>
      <c r="E8" s="17"/>
      <c r="F8" s="18"/>
      <c r="G8" s="17"/>
      <c r="H8" s="17"/>
    </row>
    <row r="9" customFormat="false" ht="15" hidden="false" customHeight="false" outlineLevel="0" collapsed="false">
      <c r="A9" s="19" t="s">
        <v>59</v>
      </c>
      <c r="B9" s="20" t="n">
        <f aca="false">COUNTIF('Treatment History'!$C$5:$C$154,$A9)</f>
        <v>0</v>
      </c>
      <c r="C9" s="21" t="n">
        <f aca="false">IF(COUNTA('Treatment History'!$C$5:$C$154)=0,"",$B9/COUNTA('Treatment History'!$C$5:$C$154))</f>
        <v>0</v>
      </c>
      <c r="D9" s="18"/>
      <c r="E9" s="17"/>
      <c r="F9" s="18"/>
      <c r="G9" s="17"/>
      <c r="H9" s="17"/>
    </row>
    <row r="10" customFormat="false" ht="15" hidden="false" customHeight="false" outlineLevel="0" collapsed="false">
      <c r="A10" s="19" t="s">
        <v>60</v>
      </c>
      <c r="B10" s="20" t="n">
        <f aca="false">COUNTIF('Treatment History'!$C$5:$C$154,$A10)</f>
        <v>0</v>
      </c>
      <c r="C10" s="21" t="n">
        <f aca="false">IF(COUNTA('Treatment History'!$C$5:$C$154)=0,"",$B10/COUNTA('Treatment History'!$C$5:$C$154))</f>
        <v>0</v>
      </c>
      <c r="D10" s="18"/>
      <c r="E10" s="17"/>
      <c r="F10" s="18"/>
      <c r="G10" s="17"/>
      <c r="H10" s="17"/>
    </row>
    <row r="11" customFormat="false" ht="15" hidden="false" customHeight="false" outlineLevel="0" collapsed="false">
      <c r="A11" s="19" t="s">
        <v>61</v>
      </c>
      <c r="B11" s="20" t="n">
        <f aca="false">COUNTIF('Treatment History'!$C$5:$C$154,$A11)</f>
        <v>0</v>
      </c>
      <c r="C11" s="21" t="n">
        <f aca="false">IF(COUNTA('Treatment History'!$C$5:$C$154)=0,"",$B11/COUNTA('Treatment History'!$C$5:$C$154))</f>
        <v>0</v>
      </c>
      <c r="D11" s="18"/>
      <c r="E11" s="17"/>
      <c r="F11" s="18"/>
      <c r="G11" s="17"/>
      <c r="H11" s="17"/>
    </row>
    <row r="12" customFormat="false" ht="15" hidden="false" customHeight="false" outlineLevel="0" collapsed="false">
      <c r="A12" s="19" t="s">
        <v>62</v>
      </c>
      <c r="B12" s="20" t="n">
        <f aca="false">COUNTIF('Treatment History'!$C$5:$C$154,$A12)</f>
        <v>0</v>
      </c>
      <c r="C12" s="21" t="n">
        <f aca="false">IF(COUNTA('Treatment History'!$C$5:$C$154)=0,"",$B12/COUNTA('Treatment History'!$C$5:$C$154))</f>
        <v>0</v>
      </c>
      <c r="D12" s="18"/>
      <c r="E12" s="17"/>
      <c r="F12" s="18"/>
      <c r="G12" s="17"/>
      <c r="H12" s="17"/>
    </row>
    <row r="13" customFormat="false" ht="15" hidden="false" customHeight="false" outlineLevel="0" collapsed="false">
      <c r="A13" s="19" t="s">
        <v>63</v>
      </c>
      <c r="B13" s="20" t="n">
        <f aca="false">COUNTIF('Treatment History'!$C$5:$C$154,$A13)</f>
        <v>0</v>
      </c>
      <c r="C13" s="21" t="n">
        <f aca="false">IF(COUNTA('Treatment History'!$C$5:$C$154)=0,"",$B13/COUNTA('Treatment History'!$C$5:$C$154))</f>
        <v>0</v>
      </c>
      <c r="D13" s="18"/>
      <c r="E13" s="17"/>
      <c r="F13" s="18"/>
      <c r="G13" s="17"/>
      <c r="H13" s="17"/>
    </row>
    <row r="14" customFormat="false" ht="15" hidden="false" customHeight="false" outlineLevel="0" collapsed="false">
      <c r="A14" s="19" t="s">
        <v>64</v>
      </c>
      <c r="B14" s="20" t="n">
        <f aca="false">COUNTIF('Treatment History'!$C$5:$C$154,$A14)</f>
        <v>0</v>
      </c>
      <c r="C14" s="21" t="n">
        <f aca="false">IF(COUNTA('Treatment History'!$C$5:$C$154)=0,"",$B14/COUNTA('Treatment History'!$C$5:$C$154))</f>
        <v>0</v>
      </c>
      <c r="D14" s="18"/>
      <c r="E14" s="17"/>
      <c r="F14" s="18"/>
      <c r="G14" s="17"/>
      <c r="H14" s="17"/>
    </row>
    <row r="15" customFormat="false" ht="15" hidden="false" customHeight="false" outlineLevel="0" collapsed="false">
      <c r="A15" s="19" t="s">
        <v>65</v>
      </c>
      <c r="B15" s="20" t="n">
        <f aca="false">COUNTIF('Treatment History'!$C$5:$C$154,$A15)</f>
        <v>0</v>
      </c>
      <c r="C15" s="21" t="n">
        <f aca="false">IF(COUNTA('Treatment History'!$C$5:$C$154)=0,"",$B15/COUNTA('Treatment History'!$C$5:$C$154))</f>
        <v>0</v>
      </c>
      <c r="D15" s="18"/>
      <c r="E15" s="17"/>
      <c r="F15" s="18"/>
      <c r="G15" s="17"/>
      <c r="H15" s="17"/>
    </row>
    <row r="16" customFormat="false" ht="15" hidden="false" customHeight="false" outlineLevel="0" collapsed="false">
      <c r="A16" s="19" t="s">
        <v>66</v>
      </c>
      <c r="B16" s="20" t="n">
        <f aca="false">COUNTIF('Treatment History'!$C$5:$C$154,$A16)</f>
        <v>0</v>
      </c>
      <c r="C16" s="21" t="n">
        <f aca="false">IF(COUNTA('Treatment History'!$C$5:$C$154)=0,"",$B16/COUNTA('Treatment History'!$C$5:$C$154))</f>
        <v>0</v>
      </c>
      <c r="D16" s="18"/>
      <c r="E16" s="17"/>
      <c r="F16" s="18"/>
      <c r="G16" s="17"/>
      <c r="H16" s="17"/>
    </row>
    <row r="17" customFormat="false" ht="15" hidden="false" customHeight="false" outlineLevel="0" collapsed="false">
      <c r="A17" s="19" t="s">
        <v>67</v>
      </c>
      <c r="B17" s="20" t="n">
        <f aca="false">COUNTIF('Treatment History'!$C$5:$C$154,$A17)</f>
        <v>0</v>
      </c>
      <c r="C17" s="21" t="n">
        <f aca="false">IF(COUNTA('Treatment History'!$C$5:$C$154)=0,"",$B17/COUNTA('Treatment History'!$C$5:$C$154))</f>
        <v>0</v>
      </c>
      <c r="D17" s="18"/>
      <c r="E17" s="17"/>
      <c r="F17" s="18"/>
      <c r="G17" s="17"/>
      <c r="H17" s="17"/>
    </row>
    <row r="18" customFormat="false" ht="15" hidden="false" customHeight="false" outlineLevel="0" collapsed="false">
      <c r="A18" s="19" t="s">
        <v>68</v>
      </c>
      <c r="B18" s="20" t="n">
        <f aca="false">COUNTIF('Treatment History'!$C$5:$C$154,$A18)</f>
        <v>0</v>
      </c>
      <c r="C18" s="21" t="n">
        <f aca="false">IF(COUNTA('Treatment History'!$C$5:$C$154)=0,"",$B18/COUNTA('Treatment History'!$C$5:$C$154))</f>
        <v>0</v>
      </c>
      <c r="D18" s="18"/>
      <c r="E18" s="17"/>
      <c r="F18" s="18"/>
      <c r="G18" s="17"/>
      <c r="H18" s="17"/>
    </row>
    <row r="19" customFormat="false" ht="15" hidden="false" customHeight="false" outlineLevel="0" collapsed="false">
      <c r="A19" s="19" t="s">
        <v>69</v>
      </c>
      <c r="B19" s="20" t="n">
        <f aca="false">COUNTIF('Treatment History'!$C$5:$C$154,$A19)</f>
        <v>0</v>
      </c>
      <c r="C19" s="21" t="n">
        <f aca="false">IF(COUNTA('Treatment History'!$C$5:$C$154)=0,"",$B19/COUNTA('Treatment History'!$C$5:$C$154))</f>
        <v>0</v>
      </c>
      <c r="D19" s="18"/>
      <c r="E19" s="17"/>
      <c r="F19" s="18"/>
      <c r="G19" s="17"/>
      <c r="H19" s="17"/>
    </row>
    <row r="20" customFormat="false" ht="15" hidden="false" customHeight="false" outlineLevel="0" collapsed="false">
      <c r="A20" s="19" t="s">
        <v>70</v>
      </c>
      <c r="B20" s="20" t="n">
        <f aca="false">COUNTIF('Treatment History'!$C$5:$C$154,$A20)</f>
        <v>0</v>
      </c>
      <c r="C20" s="21" t="n">
        <f aca="false">IF(COUNTA('Treatment History'!$C$5:$C$154)=0,"",$B20/COUNTA('Treatment History'!$C$5:$C$154))</f>
        <v>0</v>
      </c>
      <c r="D20" s="18"/>
      <c r="E20" s="17"/>
      <c r="F20" s="18"/>
      <c r="G20" s="17"/>
      <c r="H20" s="17"/>
    </row>
    <row r="21" customFormat="false" ht="15" hidden="false" customHeight="false" outlineLevel="0" collapsed="false">
      <c r="A21" s="19" t="s">
        <v>71</v>
      </c>
      <c r="B21" s="20" t="n">
        <f aca="false">COUNTIF('Treatment History'!$C$5:$C$154,$A21)</f>
        <v>0</v>
      </c>
      <c r="C21" s="21" t="n">
        <f aca="false">IF(COUNTA('Treatment History'!$C$5:$C$154)=0,"",$B21/COUNTA('Treatment History'!$C$5:$C$154))</f>
        <v>0</v>
      </c>
      <c r="D21" s="18"/>
      <c r="E21" s="17"/>
      <c r="F21" s="18"/>
      <c r="G21" s="17"/>
      <c r="H21" s="17"/>
    </row>
    <row r="22" customFormat="false" ht="15" hidden="false" customHeight="false" outlineLevel="0" collapsed="false">
      <c r="A22" s="19" t="s">
        <v>72</v>
      </c>
      <c r="B22" s="20" t="n">
        <f aca="false">COUNTIF('Treatment History'!$C$5:$C$154,$A22)</f>
        <v>0</v>
      </c>
      <c r="C22" s="21" t="n">
        <f aca="false">IF(COUNTA('Treatment History'!$C$5:$C$154)=0,"",$B22/COUNTA('Treatment History'!$C$5:$C$154))</f>
        <v>0</v>
      </c>
      <c r="D22" s="18"/>
      <c r="E22" s="17"/>
      <c r="F22" s="18"/>
      <c r="G22" s="17"/>
      <c r="H22" s="17"/>
    </row>
    <row r="23" customFormat="false" ht="15" hidden="false" customHeight="false" outlineLevel="0" collapsed="false">
      <c r="A23" s="19" t="s">
        <v>73</v>
      </c>
      <c r="B23" s="20" t="n">
        <f aca="false">COUNTIF('Treatment History'!$C$5:$C$154,$A23)</f>
        <v>0</v>
      </c>
      <c r="C23" s="21" t="n">
        <f aca="false">IF(COUNTA('Treatment History'!$C$5:$C$154)=0,"",$B23/COUNTA('Treatment History'!$C$5:$C$154))</f>
        <v>0</v>
      </c>
      <c r="D23" s="18"/>
      <c r="E23" s="17"/>
      <c r="F23" s="18"/>
      <c r="G23" s="17"/>
      <c r="H23" s="17"/>
    </row>
    <row r="24" customFormat="false" ht="15" hidden="false" customHeight="false" outlineLevel="0" collapsed="false">
      <c r="A24" s="19" t="s">
        <v>74</v>
      </c>
      <c r="B24" s="20" t="n">
        <f aca="false">COUNTIF('Treatment History'!$C$5:$C$154,$A24)</f>
        <v>0</v>
      </c>
      <c r="C24" s="21" t="n">
        <f aca="false">IF(COUNTA('Treatment History'!$C$5:$C$154)=0,"",$B24/COUNTA('Treatment History'!$C$5:$C$154))</f>
        <v>0</v>
      </c>
      <c r="D24" s="18"/>
      <c r="E24" s="17"/>
      <c r="F24" s="18"/>
      <c r="G24" s="17"/>
      <c r="H24" s="17"/>
    </row>
    <row r="25" customFormat="false" ht="15" hidden="false" customHeight="false" outlineLevel="0" collapsed="false">
      <c r="A25" s="19" t="s">
        <v>75</v>
      </c>
      <c r="B25" s="20" t="n">
        <f aca="false">COUNTIF('Treatment History'!$C$5:$C$154,$A25)</f>
        <v>0</v>
      </c>
      <c r="C25" s="21" t="n">
        <f aca="false">IF(COUNTA('Treatment History'!$C$5:$C$154)=0,"",$B25/COUNTA('Treatment History'!$C$5:$C$154))</f>
        <v>0</v>
      </c>
      <c r="D25" s="18"/>
      <c r="E25" s="17"/>
      <c r="F25" s="18"/>
      <c r="G25" s="17"/>
      <c r="H25" s="17"/>
    </row>
    <row r="26" customFormat="false" ht="15" hidden="false" customHeight="false" outlineLevel="0" collapsed="false">
      <c r="A26" s="19" t="s">
        <v>76</v>
      </c>
      <c r="B26" s="20" t="n">
        <f aca="false">COUNTIF('Treatment History'!$C$5:$C$154,$A26)</f>
        <v>0</v>
      </c>
      <c r="C26" s="21" t="n">
        <f aca="false">IF(COUNTA('Treatment History'!$C$5:$C$154)=0,"",$B26/COUNTA('Treatment History'!$C$5:$C$154))</f>
        <v>0</v>
      </c>
      <c r="D26" s="18"/>
      <c r="E26" s="17"/>
      <c r="F26" s="18"/>
      <c r="G26" s="17"/>
      <c r="H26" s="17"/>
    </row>
    <row r="27" customFormat="false" ht="15" hidden="false" customHeight="false" outlineLevel="0" collapsed="false">
      <c r="A27" s="19" t="s">
        <v>77</v>
      </c>
      <c r="B27" s="20" t="n">
        <f aca="false">COUNTIF('Treatment History'!$C$5:$C$154,$A27)</f>
        <v>0</v>
      </c>
      <c r="C27" s="21" t="n">
        <f aca="false">IF(COUNTA('Treatment History'!$C$5:$C$154)=0,"",$B27/COUNTA('Treatment History'!$C$5:$C$154))</f>
        <v>0</v>
      </c>
      <c r="D27" s="18"/>
      <c r="E27" s="17"/>
      <c r="F27" s="18"/>
      <c r="G27" s="17"/>
      <c r="H27" s="17"/>
    </row>
    <row r="28" customFormat="false" ht="15" hidden="false" customHeight="false" outlineLevel="0" collapsed="false">
      <c r="A28" s="19" t="s">
        <v>78</v>
      </c>
      <c r="B28" s="20" t="n">
        <f aca="false">COUNTIF('Treatment History'!$C$5:$C$154,$A28)</f>
        <v>0</v>
      </c>
      <c r="C28" s="21" t="n">
        <f aca="false">IF(COUNTA('Treatment History'!$C$5:$C$154)=0,"",$B28/COUNTA('Treatment History'!$C$5:$C$154))</f>
        <v>0</v>
      </c>
      <c r="D28" s="18"/>
      <c r="E28" s="17"/>
      <c r="F28" s="18"/>
      <c r="G28" s="17"/>
      <c r="H28" s="17"/>
    </row>
    <row r="29" customFormat="false" ht="15" hidden="false" customHeight="false" outlineLevel="0" collapsed="false">
      <c r="A29" s="19" t="s">
        <v>79</v>
      </c>
      <c r="B29" s="20" t="n">
        <f aca="false">COUNTIF('Treatment History'!$C$5:$C$154,$A29)</f>
        <v>0</v>
      </c>
      <c r="C29" s="21" t="n">
        <f aca="false">IF(COUNTA('Treatment History'!$C$5:$C$154)=0,"",$B29/COUNTA('Treatment History'!$C$5:$C$154))</f>
        <v>0</v>
      </c>
      <c r="D29" s="18"/>
      <c r="E29" s="17"/>
      <c r="F29" s="18"/>
      <c r="G29" s="17"/>
      <c r="H29" s="17"/>
    </row>
    <row r="31" customFormat="false" ht="15" hidden="false" customHeight="false" outlineLevel="0" collapsed="false">
      <c r="A31" s="22" t="s">
        <v>80</v>
      </c>
    </row>
    <row r="32" customFormat="false" ht="15" hidden="false" customHeight="false" outlineLevel="0" collapsed="false">
      <c r="A32" s="23" t="s">
        <v>81</v>
      </c>
    </row>
  </sheetData>
  <dataValidations count="2">
    <dataValidation allowBlank="true" errorStyle="stop" operator="between" showDropDown="false" showErrorMessage="false" showInputMessage="false" sqref="E5:E29" type="list">
      <formula1>"INDICATED,CONTRAINDICATED,BOTH (see rationale)"</formula1>
      <formula2>0</formula2>
    </dataValidation>
    <dataValidation allowBlank="true" errorStyle="stop" operator="between" showDropDown="false" showErrorMessage="false" showInputMessage="false" sqref="H5:H29" type="list">
      <formula1>"Yes,No"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2026-08-15T07:23:29Z</dcterms:created>
  <dc:creator>openpyxl</dc:creator>
  <dc:description/>
  <dc:language>en-US</dc:language>
  <cp:lastModifiedBy/>
  <dcterms:modified xsi:type="dcterms:W3CDTF">2026-08-15T07:23:29Z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