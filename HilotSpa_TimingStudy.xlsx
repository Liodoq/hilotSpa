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ummary" sheetId="2" state="visible" r:id="rId4"/>
    <sheet name="Timing Log" sheetId="3" state="visible" r:id="rId5"/>
    <sheet name="Booking Incident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<sst xmlns="http://schemas.openxmlformats.org/spreadsheetml/2006/main" count="67" uniqueCount="66">
  <si>
    <t xml:space="preserve">HilotSpa — Timing Study</t>
  </si>
  <si>
    <t xml:space="preserve">Fieldwork. One afternoon at the spa with a phone stopwatch. Target: 10 clients minimum.</t>
  </si>
  <si>
    <t xml:space="preserve">Why this exists and why it is urgent</t>
  </si>
  <si>
    <t xml:space="preserve">Your paper's Significance section states that manual assessment consumes 10-15 minutes of appointment time. Right now that number is not measured at Hilotin Spa. If a panelist asks where it came from, you need an answer better than 'the literature'.</t>
  </si>
  <si>
    <t xml:space="preserve">This is also the ONLY baseline that cannot be collected later. The moment staff start using the digital intake, the manual workflow stops existing and there is no way to reconstruct it. Everything else in your thesis can be redone. This cannot.</t>
  </si>
  <si>
    <t xml:space="preserve">Scope — deliberately small</t>
  </si>
  <si>
    <t xml:space="preserve">10 observations is enough to state a defensible mean and range. 20 is better. This is realistically one afternoon, not a research programme. Do not let it become one.</t>
  </si>
  <si>
    <t xml:space="preserve">Time these five moments</t>
  </si>
  <si>
    <t xml:space="preserve">ARRIVAL — client reaches the reception desk (not when they enter the building)</t>
  </si>
  <si>
    <t xml:space="preserve">FORM STARTED — pen touches paper, or staff begins asking intake questions aloud</t>
  </si>
  <si>
    <t xml:space="preserve">FORM COMPLETED — client hands the form back, or the last question is answered</t>
  </si>
  <si>
    <t xml:space="preserve">REVIEW DONE — staff finishes reading the form and identifying contraindications</t>
  </si>
  <si>
    <t xml:space="preserve">SERVICE STARTED — the therapist actually begins treatment</t>
  </si>
  <si>
    <t xml:space="preserve">Rules that keep the data honest</t>
  </si>
  <si>
    <t xml:space="preserve">- Get the owner's permission first, in writing. Keep it for your appendix.</t>
  </si>
  <si>
    <t xml:space="preserve">- Record no names or contact details. There is deliberately no column for them.</t>
  </si>
  <si>
    <t xml:space="preserve">- Tell staff you are timing the PROCESS, not evaluating them. People rush when they feel watched, which biases the baseline downward and makes your own system look less impressive than it is.</t>
  </si>
  <si>
    <t xml:space="preserve">- Observe passively. Do not help, prompt, or answer questions during a timed observation.</t>
  </si>
  <si>
    <t xml:space="preserve">- If something interrupts (phone call, another client), record the real time and note what happened. Interruptions are part of the manual workflow's true cost — do not exclude them.</t>
  </si>
  <si>
    <t xml:space="preserve">- If a client leaves or abandons, record what you have and note it. A lost booking is a finding, not a spoiled observation.</t>
  </si>
  <si>
    <t xml:space="preserve">- Never fill a blank from memory afterwards. Blank is honest; guessed is not.</t>
  </si>
  <si>
    <t xml:space="preserve">- Spread across 2-3 visits if you can. Different staff and different times of day make the number credible.</t>
  </si>
  <si>
    <t xml:space="preserve">Companion workbook</t>
  </si>
  <si>
    <t xml:space="preserve">HilotSpa_TreatmentHistory_Review.xlsx covers the complaint-and-service records the spa already has. That one is desk work and can be done any time. This one has a deadline.</t>
  </si>
  <si>
    <t xml:space="preserve">Timing Study — Summary</t>
  </si>
  <si>
    <t xml:space="preserve">All live formulas. Nothing here needs typing.</t>
  </si>
  <si>
    <t xml:space="preserve">Metric</t>
  </si>
  <si>
    <t xml:space="preserve">Intake</t>
  </si>
  <si>
    <t xml:space="preserve">Staff review</t>
  </si>
  <si>
    <t xml:space="preserve">Total admin</t>
  </si>
  <si>
    <t xml:space="preserve">Observations (n)</t>
  </si>
  <si>
    <t xml:space="preserve">Mean minutes</t>
  </si>
  <si>
    <t xml:space="preserve">Shortest</t>
  </si>
  <si>
    <t xml:space="preserve">Longest</t>
  </si>
  <si>
    <t xml:space="preserve">Std deviation</t>
  </si>
  <si>
    <t xml:space="preserve">Booking incidents logged</t>
  </si>
  <si>
    <t xml:space="preserve">Sentence for Chapter IV</t>
  </si>
  <si>
    <t xml:space="preserve">Timing Log — manual intake at Hilotin Spa</t>
  </si>
  <si>
    <t xml:space="preserve">YELLOW = type here.  GREY = calculated.  Times in 24-hour HH:MM.  Row 5 is an example — overwrite or delete.</t>
  </si>
  <si>
    <t xml:space="preserve">Obs #</t>
  </si>
  <si>
    <t xml:space="preserve">Date</t>
  </si>
  <si>
    <t xml:space="preserve">Client type</t>
  </si>
  <si>
    <t xml:space="preserve">New client?</t>
  </si>
  <si>
    <t xml:space="preserve">Arrival</t>
  </si>
  <si>
    <t xml:space="preserve">Form started</t>
  </si>
  <si>
    <t xml:space="preserve">Form completed</t>
  </si>
  <si>
    <t xml:space="preserve">Review done</t>
  </si>
  <si>
    <t xml:space="preserve">Service started</t>
  </si>
  <si>
    <t xml:space="preserve">Intake mins</t>
  </si>
  <si>
    <t xml:space="preserve">Review mins</t>
  </si>
  <si>
    <t xml:space="preserve">Total admin mins</t>
  </si>
  <si>
    <t xml:space="preserve">Notes</t>
  </si>
  <si>
    <t xml:space="preserve">2026-08-18</t>
  </si>
  <si>
    <t xml:space="preserve">Walk-in</t>
  </si>
  <si>
    <t xml:space="preserve">Yes</t>
  </si>
  <si>
    <t xml:space="preserve">14:02</t>
  </si>
  <si>
    <t xml:space="preserve">14:05</t>
  </si>
  <si>
    <t xml:space="preserve">14:17</t>
  </si>
  <si>
    <t xml:space="preserve">14:21</t>
  </si>
  <si>
    <t xml:space="preserve">14:26</t>
  </si>
  <si>
    <t xml:space="preserve">EXAMPLE - delete or overwrite. Staff answered phone twice during intake.</t>
  </si>
  <si>
    <t xml:space="preserve">Booking Incidents — manual scheduling failures</t>
  </si>
  <si>
    <t xml:space="preserve">Anything that goes wrong with the logbook while you are there. Crossed-out or duplicated entries count. Your paper argues manual scheduling causes booking errors — this is where you evidence it locally.</t>
  </si>
  <si>
    <t xml:space="preserve">Incident type</t>
  </si>
  <si>
    <t xml:space="preserve">What happened</t>
  </si>
  <si>
    <t xml:space="preserve">Time lost (mins)</t>
  </si>
</sst>
</file>

<file path=xl/styles.xml><?xml version="1.0" encoding="utf-8"?>
<styleSheet xmlns="http://schemas.openxmlformats.org/spreadsheetml/2006/main">
  <numFmts count="6">
    <numFmt numFmtId="164" formatCode="General"/>
    <numFmt numFmtId="165" formatCode="0"/>
    <numFmt numFmtId="166" formatCode="0.0"/>
    <numFmt numFmtId="167" formatCode="General"/>
    <numFmt numFmtId="168" formatCode="yyyy\-mm\-dd"/>
    <numFmt numFmtId="169" formatCode="hh:mm"/>
  </numFmts>
  <fonts count="11">
    <font>
      <sz val="11"/>
      <color theme="1"/>
      <name val="Calibri"/>
      <family val="2"/>
      <charset val="1"/>
    </font>
    <font>
      <sz val="10"/>
      <name val="Arial"/>
      <family val="0"/>
    </font>
    <font>
      <sz val="10"/>
      <name val="Arial"/>
      <family val="0"/>
    </font>
    <font>
      <sz val="10"/>
      <name val="Arial"/>
      <family val="0"/>
    </font>
    <font>
      <b val="true"/>
      <sz val="14"/>
      <color rgb="FF1F4E5F"/>
      <name val="Arial"/>
      <family val="0"/>
      <charset val="1"/>
    </font>
    <font>
      <i val="true"/>
      <sz val="9"/>
      <color rgb="FF666666"/>
      <name val="Arial"/>
      <family val="0"/>
      <charset val="1"/>
    </font>
    <font>
      <b val="true"/>
      <sz val="11"/>
      <color rgb="FF1F4E5F"/>
      <name val="Arial"/>
      <family val="0"/>
      <charset val="1"/>
    </font>
    <font>
      <sz val="10"/>
      <name val="Arial"/>
      <family val="0"/>
      <charset val="1"/>
    </font>
    <font>
      <b val="true"/>
      <sz val="10"/>
      <color rgb="FFFFFFFF"/>
      <name val="Arial"/>
      <family val="0"/>
      <charset val="1"/>
    </font>
    <font>
      <b val="true"/>
      <sz val="10"/>
      <name val="Arial"/>
      <family val="0"/>
      <charset val="1"/>
    </font>
    <font>
      <i val="true"/>
      <sz val="10"/>
      <name val="Arial"/>
      <family val="0"/>
      <charset val="1"/>
    </font>
  </fonts>
  <fills count="6">
    <fill>
      <patternFill patternType="none"/>
    </fill>
    <fill>
      <patternFill patternType="gray125"/>
    </fill>
    <fill>
      <patternFill patternType="solid">
        <fgColor rgb="FF1F4E5F"/>
        <bgColor rgb="FF333333"/>
      </patternFill>
    </fill>
    <fill>
      <patternFill patternType="solid">
        <fgColor rgb="FFE2EFDA"/>
        <bgColor rgb="FFEDEDED"/>
      </patternFill>
    </fill>
    <fill>
      <patternFill patternType="solid">
        <fgColor rgb="FFFFF2CC"/>
        <bgColor rgb="FFEDEDED"/>
      </patternFill>
    </fill>
    <fill>
      <patternFill patternType="solid">
        <fgColor rgb="FFEDEDED"/>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8" fontId="10" fillId="3" borderId="1" xfId="0" applyFont="true" applyBorder="true" applyAlignment="true" applyProtection="false">
      <alignment horizontal="center" vertical="center" textRotation="0" wrapText="false" indent="0" shrinkToFit="false"/>
      <protection locked="true" hidden="false"/>
    </xf>
    <xf numFmtId="169" fontId="10" fillId="3" borderId="1" xfId="0" applyFont="true" applyBorder="true" applyAlignment="true" applyProtection="false">
      <alignment horizontal="center" vertical="center" textRotation="0" wrapText="false" indent="0" shrinkToFit="false"/>
      <protection locked="true" hidden="false"/>
    </xf>
    <xf numFmtId="166" fontId="10" fillId="3" borderId="1"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8" fontId="7"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9" fontId="7" fillId="4" borderId="1" xfId="0" applyFont="true" applyBorder="true" applyAlignment="true" applyProtection="false">
      <alignment horizontal="center" vertical="center" textRotation="0" wrapText="false" indent="0" shrinkToFit="false"/>
      <protection locked="true" hidden="false"/>
    </xf>
    <xf numFmtId="166" fontId="7" fillId="5"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4"/>
  </cols>
  <sheetData>
    <row r="1" customFormat="false" ht="17.35" hidden="false" customHeight="false" outlineLevel="0" collapsed="false">
      <c r="B1" s="1" t="s">
        <v>0</v>
      </c>
    </row>
    <row r="2" customFormat="false" ht="15" hidden="false" customHeight="false" outlineLevel="0" collapsed="false">
      <c r="B2" s="2" t="s">
        <v>1</v>
      </c>
    </row>
    <row r="4" customFormat="false" ht="15" hidden="false" customHeight="false" outlineLevel="0" collapsed="false">
      <c r="B4" s="3" t="s">
        <v>2</v>
      </c>
    </row>
    <row r="5" customFormat="false" ht="23.85" hidden="false" customHeight="false" outlineLevel="0" collapsed="false">
      <c r="B5" s="4" t="s">
        <v>3</v>
      </c>
    </row>
    <row r="6" customFormat="false" ht="23.85" hidden="false" customHeight="false" outlineLevel="0" collapsed="false">
      <c r="B6" s="4" t="s">
        <v>4</v>
      </c>
    </row>
    <row r="8" customFormat="false" ht="15" hidden="false" customHeight="false" outlineLevel="0" collapsed="false">
      <c r="B8" s="3" t="s">
        <v>5</v>
      </c>
    </row>
    <row r="9" customFormat="false" ht="23.85" hidden="false" customHeight="false" outlineLevel="0" collapsed="false">
      <c r="B9" s="4" t="s">
        <v>6</v>
      </c>
    </row>
    <row r="11" customFormat="false" ht="15" hidden="false" customHeight="false" outlineLevel="0" collapsed="false">
      <c r="B11" s="3" t="s">
        <v>7</v>
      </c>
    </row>
    <row r="12" customFormat="false" ht="15" hidden="false" customHeight="false" outlineLevel="0" collapsed="false">
      <c r="B12" s="4" t="s">
        <v>8</v>
      </c>
    </row>
    <row r="13" customFormat="false" ht="15" hidden="false" customHeight="false" outlineLevel="0" collapsed="false">
      <c r="B13" s="4" t="s">
        <v>9</v>
      </c>
    </row>
    <row r="14" customFormat="false" ht="15" hidden="false" customHeight="false" outlineLevel="0" collapsed="false">
      <c r="B14" s="4" t="s">
        <v>10</v>
      </c>
    </row>
    <row r="15" customFormat="false" ht="15" hidden="false" customHeight="false" outlineLevel="0" collapsed="false">
      <c r="B15" s="4" t="s">
        <v>11</v>
      </c>
    </row>
    <row r="16" customFormat="false" ht="15" hidden="false" customHeight="false" outlineLevel="0" collapsed="false">
      <c r="B16" s="4" t="s">
        <v>12</v>
      </c>
    </row>
    <row r="18" customFormat="false" ht="15" hidden="false" customHeight="false" outlineLevel="0" collapsed="false">
      <c r="B18" s="3" t="s">
        <v>13</v>
      </c>
    </row>
    <row r="19" customFormat="false" ht="15" hidden="false" customHeight="false" outlineLevel="0" collapsed="false">
      <c r="B19" s="4" t="s">
        <v>14</v>
      </c>
    </row>
    <row r="20" customFormat="false" ht="15" hidden="false" customHeight="false" outlineLevel="0" collapsed="false">
      <c r="B20" s="4" t="s">
        <v>15</v>
      </c>
    </row>
    <row r="21" customFormat="false" ht="23.85" hidden="false" customHeight="false" outlineLevel="0" collapsed="false">
      <c r="B21" s="4" t="s">
        <v>16</v>
      </c>
    </row>
    <row r="22" customFormat="false" ht="15" hidden="false" customHeight="false" outlineLevel="0" collapsed="false">
      <c r="B22" s="4" t="s">
        <v>17</v>
      </c>
    </row>
    <row r="23" customFormat="false" ht="23.85" hidden="false" customHeight="false" outlineLevel="0" collapsed="false">
      <c r="B23" s="4" t="s">
        <v>18</v>
      </c>
    </row>
    <row r="24" customFormat="false" ht="15" hidden="false" customHeight="false" outlineLevel="0" collapsed="false">
      <c r="B24" s="4" t="s">
        <v>19</v>
      </c>
    </row>
    <row r="25" customFormat="false" ht="15" hidden="false" customHeight="false" outlineLevel="0" collapsed="false">
      <c r="B25" s="4" t="s">
        <v>20</v>
      </c>
    </row>
    <row r="26" customFormat="false" ht="15" hidden="false" customHeight="false" outlineLevel="0" collapsed="false">
      <c r="B26" s="4" t="s">
        <v>21</v>
      </c>
    </row>
    <row r="28" customFormat="false" ht="15" hidden="false" customHeight="false" outlineLevel="0" collapsed="false">
      <c r="B28" s="3" t="s">
        <v>22</v>
      </c>
    </row>
    <row r="29" customFormat="false" ht="23.85" hidden="false" customHeight="false" outlineLevel="0" collapsed="false">
      <c r="B29" s="4"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7"/>
  </cols>
  <sheetData>
    <row r="1" customFormat="false" ht="17.35" hidden="false" customHeight="false" outlineLevel="0" collapsed="false">
      <c r="A1" s="5" t="s">
        <v>24</v>
      </c>
    </row>
    <row r="2" customFormat="false" ht="15" hidden="false" customHeight="false" outlineLevel="0" collapsed="false">
      <c r="A2" s="6" t="s">
        <v>25</v>
      </c>
    </row>
    <row r="4" customFormat="false" ht="15" hidden="false" customHeight="false" outlineLevel="0" collapsed="false">
      <c r="A4" s="7" t="s">
        <v>26</v>
      </c>
      <c r="B4" s="7" t="s">
        <v>27</v>
      </c>
      <c r="C4" s="7" t="s">
        <v>28</v>
      </c>
      <c r="D4" s="7" t="s">
        <v>29</v>
      </c>
    </row>
    <row r="5" customFormat="false" ht="15" hidden="false" customHeight="false" outlineLevel="0" collapsed="false">
      <c r="A5" s="8" t="s">
        <v>30</v>
      </c>
      <c r="B5" s="9" t="n">
        <f aca="false">COUNT('Timing Log'!$J$5:$J$29)</f>
        <v>1</v>
      </c>
      <c r="C5" s="9" t="n">
        <f aca="false">COUNT('Timing Log'!$K$5:$K$29)</f>
        <v>1</v>
      </c>
      <c r="D5" s="9" t="n">
        <f aca="false">COUNT('Timing Log'!$L$5:$L$29)</f>
        <v>1</v>
      </c>
    </row>
    <row r="6" customFormat="false" ht="15" hidden="false" customHeight="false" outlineLevel="0" collapsed="false">
      <c r="A6" s="8" t="s">
        <v>31</v>
      </c>
      <c r="B6" s="10" t="n">
        <f aca="false">IFERROR(AVERAGE('Timing Log'!$J$5:$J$29),"")</f>
        <v>12</v>
      </c>
      <c r="C6" s="10" t="n">
        <f aca="false">IFERROR(AVERAGE('Timing Log'!$K$5:$K$29),"")</f>
        <v>3.99999999999999</v>
      </c>
      <c r="D6" s="10" t="n">
        <f aca="false">IFERROR(AVERAGE('Timing Log'!$L$5:$L$29),"")</f>
        <v>23.9999999999999</v>
      </c>
    </row>
    <row r="7" customFormat="false" ht="15" hidden="false" customHeight="false" outlineLevel="0" collapsed="false">
      <c r="A7" s="8" t="s">
        <v>32</v>
      </c>
      <c r="B7" s="10" t="n">
        <f aca="false">IFERROR(MIN('Timing Log'!$J$5:$J$29),"")</f>
        <v>12</v>
      </c>
      <c r="C7" s="10" t="n">
        <f aca="false">IFERROR(MIN('Timing Log'!$K$5:$K$29),"")</f>
        <v>3.99999999999999</v>
      </c>
      <c r="D7" s="10" t="n">
        <f aca="false">IFERROR(MIN('Timing Log'!$L$5:$L$29),"")</f>
        <v>23.9999999999999</v>
      </c>
    </row>
    <row r="8" customFormat="false" ht="15" hidden="false" customHeight="false" outlineLevel="0" collapsed="false">
      <c r="A8" s="8" t="s">
        <v>33</v>
      </c>
      <c r="B8" s="10" t="n">
        <f aca="false">IFERROR(MAX('Timing Log'!$J$5:$J$29),"")</f>
        <v>12</v>
      </c>
      <c r="C8" s="10" t="n">
        <f aca="false">IFERROR(MAX('Timing Log'!$K$5:$K$29),"")</f>
        <v>3.99999999999999</v>
      </c>
      <c r="D8" s="10" t="n">
        <f aca="false">IFERROR(MAX('Timing Log'!$L$5:$L$29),"")</f>
        <v>23.9999999999999</v>
      </c>
    </row>
    <row r="9" customFormat="false" ht="15" hidden="false" customHeight="false" outlineLevel="0" collapsed="false">
      <c r="A9" s="8" t="s">
        <v>34</v>
      </c>
      <c r="B9" s="10" t="str">
        <f aca="false">IFERROR(STDEV('Timing Log'!$J$5:$J$29),"")</f>
        <v/>
      </c>
      <c r="C9" s="10" t="str">
        <f aca="false">IFERROR(STDEV('Timing Log'!$K$5:$K$29),"")</f>
        <v/>
      </c>
      <c r="D9" s="10" t="str">
        <f aca="false">IFERROR(STDEV('Timing Log'!$L$5:$L$29),"")</f>
        <v/>
      </c>
    </row>
    <row r="11" customFormat="false" ht="15" hidden="false" customHeight="false" outlineLevel="0" collapsed="false">
      <c r="A11" s="8" t="s">
        <v>35</v>
      </c>
      <c r="B11" s="11" t="n">
        <f aca="false">COUNTA('Booking Incidents'!$B$5:$B$24)</f>
        <v>0</v>
      </c>
    </row>
    <row r="13" customFormat="false" ht="15" hidden="false" customHeight="false" outlineLevel="0" collapsed="false">
      <c r="A13" s="12" t="s">
        <v>36</v>
      </c>
    </row>
    <row r="14" customFormat="false" ht="15" hidden="false" customHeight="false" outlineLevel="0" collapsed="false">
      <c r="A14" s="13" t="str">
        <f aca="false">IF($B$5=0,"Enter observations in the Timing Log to generate this.","Across "&amp;TEXT($B$5,"0")&amp;" observed clients at Hilotin Spa, manual intake averaged "&amp;TEXT($B$6,"0.0")&amp;" minutes (range "&amp;TEXT($B$7,"0.0")&amp;"-"&amp;TEXT($B$8,"0.0")&amp;"), and total pre-service administrative time averaged "&amp;TEXT($D$6,"0.0")&amp;" minutes.")</f>
        <v>Across 1 observed clients at Hilotin Spa, manual intake averaged 12.0 minutes (range 12.0-12.0), and total pre-service administrative time averaged 24.0 minutes.</v>
      </c>
      <c r="B14" s="13"/>
      <c r="C14" s="13"/>
      <c r="D14" s="13"/>
    </row>
    <row r="15" customFormat="false" ht="15" hidden="false" customHeight="false" outlineLevel="0" collapsed="false">
      <c r="A15" s="13"/>
      <c r="B15" s="13"/>
      <c r="C15" s="13"/>
      <c r="D15" s="13"/>
    </row>
    <row r="16" customFormat="false" ht="15" hidden="false" customHeight="false" outlineLevel="0" collapsed="false">
      <c r="A16" s="13"/>
      <c r="B16" s="13"/>
      <c r="C16" s="13"/>
      <c r="D16" s="13"/>
    </row>
  </sheetData>
  <mergeCells count="1">
    <mergeCell ref="A14:D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2"/>
    <col collapsed="false" customWidth="true" hidden="false" outlineLevel="0" max="3" min="3" style="0" width="14"/>
    <col collapsed="false" customWidth="true" hidden="false" outlineLevel="0" max="4" min="4" style="0" width="12"/>
    <col collapsed="false" customWidth="true" hidden="false" outlineLevel="0" max="5" min="5" style="0" width="10"/>
    <col collapsed="false" customWidth="true" hidden="false" outlineLevel="0" max="6" min="6" style="0" width="13"/>
    <col collapsed="false" customWidth="true" hidden="false" outlineLevel="0" max="7" min="7" style="0" width="15"/>
    <col collapsed="false" customWidth="true" hidden="false" outlineLevel="0" max="8" min="8" style="0" width="13"/>
    <col collapsed="false" customWidth="true" hidden="false" outlineLevel="0" max="9" min="9" style="0" width="14"/>
    <col collapsed="false" customWidth="true" hidden="false" outlineLevel="0" max="11" min="10" style="0" width="12"/>
    <col collapsed="false" customWidth="true" hidden="false" outlineLevel="0" max="12" min="12" style="0" width="16"/>
    <col collapsed="false" customWidth="true" hidden="false" outlineLevel="0" max="13" min="13" style="0" width="40"/>
  </cols>
  <sheetData>
    <row r="1" customFormat="false" ht="17.35" hidden="false" customHeight="false" outlineLevel="0" collapsed="false">
      <c r="A1" s="5" t="s">
        <v>37</v>
      </c>
    </row>
    <row r="2" customFormat="false" ht="15" hidden="false" customHeight="false" outlineLevel="0" collapsed="false">
      <c r="A2" s="6" t="s">
        <v>38</v>
      </c>
    </row>
    <row r="4" customFormat="false" ht="15" hidden="false" customHeight="false" outlineLevel="0" collapsed="false">
      <c r="A4" s="7" t="s">
        <v>39</v>
      </c>
      <c r="B4" s="7" t="s">
        <v>40</v>
      </c>
      <c r="C4" s="7" t="s">
        <v>41</v>
      </c>
      <c r="D4" s="7" t="s">
        <v>42</v>
      </c>
      <c r="E4" s="7" t="s">
        <v>43</v>
      </c>
      <c r="F4" s="7" t="s">
        <v>44</v>
      </c>
      <c r="G4" s="7" t="s">
        <v>45</v>
      </c>
      <c r="H4" s="7" t="s">
        <v>46</v>
      </c>
      <c r="I4" s="7" t="s">
        <v>47</v>
      </c>
      <c r="J4" s="7" t="s">
        <v>48</v>
      </c>
      <c r="K4" s="7" t="s">
        <v>49</v>
      </c>
      <c r="L4" s="7" t="s">
        <v>50</v>
      </c>
      <c r="M4" s="7" t="s">
        <v>51</v>
      </c>
    </row>
    <row r="5" customFormat="false" ht="23.85" hidden="false" customHeight="false" outlineLevel="0" collapsed="false">
      <c r="A5" s="14" t="n">
        <v>1</v>
      </c>
      <c r="B5" s="15" t="s">
        <v>52</v>
      </c>
      <c r="C5" s="14" t="s">
        <v>53</v>
      </c>
      <c r="D5" s="14" t="s">
        <v>54</v>
      </c>
      <c r="E5" s="16" t="s">
        <v>55</v>
      </c>
      <c r="F5" s="16" t="s">
        <v>56</v>
      </c>
      <c r="G5" s="16" t="s">
        <v>57</v>
      </c>
      <c r="H5" s="16" t="s">
        <v>58</v>
      </c>
      <c r="I5" s="16" t="s">
        <v>59</v>
      </c>
      <c r="J5" s="17" t="n">
        <f aca="false">IF(OR($F5="",$G5=""),"",($G5-$F5)*1440)</f>
        <v>12</v>
      </c>
      <c r="K5" s="17" t="n">
        <f aca="false">IF(OR($G5="",$H5=""),"",($H5-$G5)*1440)</f>
        <v>3.99999999999999</v>
      </c>
      <c r="L5" s="17" t="n">
        <f aca="false">IF(OR($E5="",$I5=""),"",($I5-$E5)*1440)</f>
        <v>23.9999999999999</v>
      </c>
      <c r="M5" s="18" t="s">
        <v>60</v>
      </c>
    </row>
    <row r="6" customFormat="false" ht="15" hidden="false" customHeight="false" outlineLevel="0" collapsed="false">
      <c r="A6" s="11" t="n">
        <v>2</v>
      </c>
      <c r="B6" s="19"/>
      <c r="C6" s="20"/>
      <c r="D6" s="20"/>
      <c r="E6" s="21"/>
      <c r="F6" s="21"/>
      <c r="G6" s="21"/>
      <c r="H6" s="21"/>
      <c r="I6" s="21"/>
      <c r="J6" s="22" t="str">
        <f aca="false">IF(OR($F6="",$G6=""),"",($G6-$F6)*1440)</f>
        <v/>
      </c>
      <c r="K6" s="22" t="str">
        <f aca="false">IF(OR($G6="",$H6=""),"",($H6-$G6)*1440)</f>
        <v/>
      </c>
      <c r="L6" s="22" t="str">
        <f aca="false">IF(OR($E6="",$I6=""),"",($I6-$E6)*1440)</f>
        <v/>
      </c>
      <c r="M6" s="23"/>
    </row>
    <row r="7" customFormat="false" ht="15" hidden="false" customHeight="false" outlineLevel="0" collapsed="false">
      <c r="A7" s="11" t="n">
        <v>3</v>
      </c>
      <c r="B7" s="19"/>
      <c r="C7" s="20"/>
      <c r="D7" s="20"/>
      <c r="E7" s="21"/>
      <c r="F7" s="21"/>
      <c r="G7" s="21"/>
      <c r="H7" s="21"/>
      <c r="I7" s="21"/>
      <c r="J7" s="22" t="str">
        <f aca="false">IF(OR($F7="",$G7=""),"",($G7-$F7)*1440)</f>
        <v/>
      </c>
      <c r="K7" s="22" t="str">
        <f aca="false">IF(OR($G7="",$H7=""),"",($H7-$G7)*1440)</f>
        <v/>
      </c>
      <c r="L7" s="22" t="str">
        <f aca="false">IF(OR($E7="",$I7=""),"",($I7-$E7)*1440)</f>
        <v/>
      </c>
      <c r="M7" s="23"/>
    </row>
    <row r="8" customFormat="false" ht="15" hidden="false" customHeight="false" outlineLevel="0" collapsed="false">
      <c r="A8" s="11" t="n">
        <v>4</v>
      </c>
      <c r="B8" s="19"/>
      <c r="C8" s="20"/>
      <c r="D8" s="20"/>
      <c r="E8" s="21"/>
      <c r="F8" s="21"/>
      <c r="G8" s="21"/>
      <c r="H8" s="21"/>
      <c r="I8" s="21"/>
      <c r="J8" s="22" t="str">
        <f aca="false">IF(OR($F8="",$G8=""),"",($G8-$F8)*1440)</f>
        <v/>
      </c>
      <c r="K8" s="22" t="str">
        <f aca="false">IF(OR($G8="",$H8=""),"",($H8-$G8)*1440)</f>
        <v/>
      </c>
      <c r="L8" s="22" t="str">
        <f aca="false">IF(OR($E8="",$I8=""),"",($I8-$E8)*1440)</f>
        <v/>
      </c>
      <c r="M8" s="23"/>
    </row>
    <row r="9" customFormat="false" ht="15" hidden="false" customHeight="false" outlineLevel="0" collapsed="false">
      <c r="A9" s="11" t="n">
        <v>5</v>
      </c>
      <c r="B9" s="19"/>
      <c r="C9" s="20"/>
      <c r="D9" s="20"/>
      <c r="E9" s="21"/>
      <c r="F9" s="21"/>
      <c r="G9" s="21"/>
      <c r="H9" s="21"/>
      <c r="I9" s="21"/>
      <c r="J9" s="22" t="str">
        <f aca="false">IF(OR($F9="",$G9=""),"",($G9-$F9)*1440)</f>
        <v/>
      </c>
      <c r="K9" s="22" t="str">
        <f aca="false">IF(OR($G9="",$H9=""),"",($H9-$G9)*1440)</f>
        <v/>
      </c>
      <c r="L9" s="22" t="str">
        <f aca="false">IF(OR($E9="",$I9=""),"",($I9-$E9)*1440)</f>
        <v/>
      </c>
      <c r="M9" s="23"/>
    </row>
    <row r="10" customFormat="false" ht="15" hidden="false" customHeight="false" outlineLevel="0" collapsed="false">
      <c r="A10" s="11" t="n">
        <v>6</v>
      </c>
      <c r="B10" s="19"/>
      <c r="C10" s="20"/>
      <c r="D10" s="20"/>
      <c r="E10" s="21"/>
      <c r="F10" s="21"/>
      <c r="G10" s="21"/>
      <c r="H10" s="21"/>
      <c r="I10" s="21"/>
      <c r="J10" s="22" t="str">
        <f aca="false">IF(OR($F10="",$G10=""),"",($G10-$F10)*1440)</f>
        <v/>
      </c>
      <c r="K10" s="22" t="str">
        <f aca="false">IF(OR($G10="",$H10=""),"",($H10-$G10)*1440)</f>
        <v/>
      </c>
      <c r="L10" s="22" t="str">
        <f aca="false">IF(OR($E10="",$I10=""),"",($I10-$E10)*1440)</f>
        <v/>
      </c>
      <c r="M10" s="23"/>
    </row>
    <row r="11" customFormat="false" ht="15" hidden="false" customHeight="false" outlineLevel="0" collapsed="false">
      <c r="A11" s="11" t="n">
        <v>7</v>
      </c>
      <c r="B11" s="19"/>
      <c r="C11" s="20"/>
      <c r="D11" s="20"/>
      <c r="E11" s="21"/>
      <c r="F11" s="21"/>
      <c r="G11" s="21"/>
      <c r="H11" s="21"/>
      <c r="I11" s="21"/>
      <c r="J11" s="22" t="str">
        <f aca="false">IF(OR($F11="",$G11=""),"",($G11-$F11)*1440)</f>
        <v/>
      </c>
      <c r="K11" s="22" t="str">
        <f aca="false">IF(OR($G11="",$H11=""),"",($H11-$G11)*1440)</f>
        <v/>
      </c>
      <c r="L11" s="22" t="str">
        <f aca="false">IF(OR($E11="",$I11=""),"",($I11-$E11)*1440)</f>
        <v/>
      </c>
      <c r="M11" s="23"/>
    </row>
    <row r="12" customFormat="false" ht="15" hidden="false" customHeight="false" outlineLevel="0" collapsed="false">
      <c r="A12" s="11" t="n">
        <v>8</v>
      </c>
      <c r="B12" s="19"/>
      <c r="C12" s="20"/>
      <c r="D12" s="20"/>
      <c r="E12" s="21"/>
      <c r="F12" s="21"/>
      <c r="G12" s="21"/>
      <c r="H12" s="21"/>
      <c r="I12" s="21"/>
      <c r="J12" s="22" t="str">
        <f aca="false">IF(OR($F12="",$G12=""),"",($G12-$F12)*1440)</f>
        <v/>
      </c>
      <c r="K12" s="22" t="str">
        <f aca="false">IF(OR($G12="",$H12=""),"",($H12-$G12)*1440)</f>
        <v/>
      </c>
      <c r="L12" s="22" t="str">
        <f aca="false">IF(OR($E12="",$I12=""),"",($I12-$E12)*1440)</f>
        <v/>
      </c>
      <c r="M12" s="23"/>
    </row>
    <row r="13" customFormat="false" ht="15" hidden="false" customHeight="false" outlineLevel="0" collapsed="false">
      <c r="A13" s="11" t="n">
        <v>9</v>
      </c>
      <c r="B13" s="19"/>
      <c r="C13" s="20"/>
      <c r="D13" s="20"/>
      <c r="E13" s="21"/>
      <c r="F13" s="21"/>
      <c r="G13" s="21"/>
      <c r="H13" s="21"/>
      <c r="I13" s="21"/>
      <c r="J13" s="22" t="str">
        <f aca="false">IF(OR($F13="",$G13=""),"",($G13-$F13)*1440)</f>
        <v/>
      </c>
      <c r="K13" s="22" t="str">
        <f aca="false">IF(OR($G13="",$H13=""),"",($H13-$G13)*1440)</f>
        <v/>
      </c>
      <c r="L13" s="22" t="str">
        <f aca="false">IF(OR($E13="",$I13=""),"",($I13-$E13)*1440)</f>
        <v/>
      </c>
      <c r="M13" s="23"/>
    </row>
    <row r="14" customFormat="false" ht="15" hidden="false" customHeight="false" outlineLevel="0" collapsed="false">
      <c r="A14" s="11" t="n">
        <v>10</v>
      </c>
      <c r="B14" s="19"/>
      <c r="C14" s="20"/>
      <c r="D14" s="20"/>
      <c r="E14" s="21"/>
      <c r="F14" s="21"/>
      <c r="G14" s="21"/>
      <c r="H14" s="21"/>
      <c r="I14" s="21"/>
      <c r="J14" s="22" t="str">
        <f aca="false">IF(OR($F14="",$G14=""),"",($G14-$F14)*1440)</f>
        <v/>
      </c>
      <c r="K14" s="22" t="str">
        <f aca="false">IF(OR($G14="",$H14=""),"",($H14-$G14)*1440)</f>
        <v/>
      </c>
      <c r="L14" s="22" t="str">
        <f aca="false">IF(OR($E14="",$I14=""),"",($I14-$E14)*1440)</f>
        <v/>
      </c>
      <c r="M14" s="23"/>
    </row>
    <row r="15" customFormat="false" ht="15" hidden="false" customHeight="false" outlineLevel="0" collapsed="false">
      <c r="A15" s="11" t="n">
        <v>11</v>
      </c>
      <c r="B15" s="19"/>
      <c r="C15" s="20"/>
      <c r="D15" s="20"/>
      <c r="E15" s="21"/>
      <c r="F15" s="21"/>
      <c r="G15" s="21"/>
      <c r="H15" s="21"/>
      <c r="I15" s="21"/>
      <c r="J15" s="22" t="str">
        <f aca="false">IF(OR($F15="",$G15=""),"",($G15-$F15)*1440)</f>
        <v/>
      </c>
      <c r="K15" s="22" t="str">
        <f aca="false">IF(OR($G15="",$H15=""),"",($H15-$G15)*1440)</f>
        <v/>
      </c>
      <c r="L15" s="22" t="str">
        <f aca="false">IF(OR($E15="",$I15=""),"",($I15-$E15)*1440)</f>
        <v/>
      </c>
      <c r="M15" s="23"/>
    </row>
    <row r="16" customFormat="false" ht="15" hidden="false" customHeight="false" outlineLevel="0" collapsed="false">
      <c r="A16" s="11" t="n">
        <v>12</v>
      </c>
      <c r="B16" s="19"/>
      <c r="C16" s="20"/>
      <c r="D16" s="20"/>
      <c r="E16" s="21"/>
      <c r="F16" s="21"/>
      <c r="G16" s="21"/>
      <c r="H16" s="21"/>
      <c r="I16" s="21"/>
      <c r="J16" s="22" t="str">
        <f aca="false">IF(OR($F16="",$G16=""),"",($G16-$F16)*1440)</f>
        <v/>
      </c>
      <c r="K16" s="22" t="str">
        <f aca="false">IF(OR($G16="",$H16=""),"",($H16-$G16)*1440)</f>
        <v/>
      </c>
      <c r="L16" s="22" t="str">
        <f aca="false">IF(OR($E16="",$I16=""),"",($I16-$E16)*1440)</f>
        <v/>
      </c>
      <c r="M16" s="23"/>
    </row>
    <row r="17" customFormat="false" ht="15" hidden="false" customHeight="false" outlineLevel="0" collapsed="false">
      <c r="A17" s="11" t="n">
        <v>13</v>
      </c>
      <c r="B17" s="19"/>
      <c r="C17" s="20"/>
      <c r="D17" s="20"/>
      <c r="E17" s="21"/>
      <c r="F17" s="21"/>
      <c r="G17" s="21"/>
      <c r="H17" s="21"/>
      <c r="I17" s="21"/>
      <c r="J17" s="22" t="str">
        <f aca="false">IF(OR($F17="",$G17=""),"",($G17-$F17)*1440)</f>
        <v/>
      </c>
      <c r="K17" s="22" t="str">
        <f aca="false">IF(OR($G17="",$H17=""),"",($H17-$G17)*1440)</f>
        <v/>
      </c>
      <c r="L17" s="22" t="str">
        <f aca="false">IF(OR($E17="",$I17=""),"",($I17-$E17)*1440)</f>
        <v/>
      </c>
      <c r="M17" s="23"/>
    </row>
    <row r="18" customFormat="false" ht="15" hidden="false" customHeight="false" outlineLevel="0" collapsed="false">
      <c r="A18" s="11" t="n">
        <v>14</v>
      </c>
      <c r="B18" s="19"/>
      <c r="C18" s="20"/>
      <c r="D18" s="20"/>
      <c r="E18" s="21"/>
      <c r="F18" s="21"/>
      <c r="G18" s="21"/>
      <c r="H18" s="21"/>
      <c r="I18" s="21"/>
      <c r="J18" s="22" t="str">
        <f aca="false">IF(OR($F18="",$G18=""),"",($G18-$F18)*1440)</f>
        <v/>
      </c>
      <c r="K18" s="22" t="str">
        <f aca="false">IF(OR($G18="",$H18=""),"",($H18-$G18)*1440)</f>
        <v/>
      </c>
      <c r="L18" s="22" t="str">
        <f aca="false">IF(OR($E18="",$I18=""),"",($I18-$E18)*1440)</f>
        <v/>
      </c>
      <c r="M18" s="23"/>
    </row>
    <row r="19" customFormat="false" ht="15" hidden="false" customHeight="false" outlineLevel="0" collapsed="false">
      <c r="A19" s="11" t="n">
        <v>15</v>
      </c>
      <c r="B19" s="19"/>
      <c r="C19" s="20"/>
      <c r="D19" s="20"/>
      <c r="E19" s="21"/>
      <c r="F19" s="21"/>
      <c r="G19" s="21"/>
      <c r="H19" s="21"/>
      <c r="I19" s="21"/>
      <c r="J19" s="22" t="str">
        <f aca="false">IF(OR($F19="",$G19=""),"",($G19-$F19)*1440)</f>
        <v/>
      </c>
      <c r="K19" s="22" t="str">
        <f aca="false">IF(OR($G19="",$H19=""),"",($H19-$G19)*1440)</f>
        <v/>
      </c>
      <c r="L19" s="22" t="str">
        <f aca="false">IF(OR($E19="",$I19=""),"",($I19-$E19)*1440)</f>
        <v/>
      </c>
      <c r="M19" s="23"/>
    </row>
    <row r="20" customFormat="false" ht="15" hidden="false" customHeight="false" outlineLevel="0" collapsed="false">
      <c r="A20" s="11" t="n">
        <v>16</v>
      </c>
      <c r="B20" s="19"/>
      <c r="C20" s="20"/>
      <c r="D20" s="20"/>
      <c r="E20" s="21"/>
      <c r="F20" s="21"/>
      <c r="G20" s="21"/>
      <c r="H20" s="21"/>
      <c r="I20" s="21"/>
      <c r="J20" s="22" t="str">
        <f aca="false">IF(OR($F20="",$G20=""),"",($G20-$F20)*1440)</f>
        <v/>
      </c>
      <c r="K20" s="22" t="str">
        <f aca="false">IF(OR($G20="",$H20=""),"",($H20-$G20)*1440)</f>
        <v/>
      </c>
      <c r="L20" s="22" t="str">
        <f aca="false">IF(OR($E20="",$I20=""),"",($I20-$E20)*1440)</f>
        <v/>
      </c>
      <c r="M20" s="23"/>
    </row>
    <row r="21" customFormat="false" ht="15" hidden="false" customHeight="false" outlineLevel="0" collapsed="false">
      <c r="A21" s="11" t="n">
        <v>17</v>
      </c>
      <c r="B21" s="19"/>
      <c r="C21" s="20"/>
      <c r="D21" s="20"/>
      <c r="E21" s="21"/>
      <c r="F21" s="21"/>
      <c r="G21" s="21"/>
      <c r="H21" s="21"/>
      <c r="I21" s="21"/>
      <c r="J21" s="22" t="str">
        <f aca="false">IF(OR($F21="",$G21=""),"",($G21-$F21)*1440)</f>
        <v/>
      </c>
      <c r="K21" s="22" t="str">
        <f aca="false">IF(OR($G21="",$H21=""),"",($H21-$G21)*1440)</f>
        <v/>
      </c>
      <c r="L21" s="22" t="str">
        <f aca="false">IF(OR($E21="",$I21=""),"",($I21-$E21)*1440)</f>
        <v/>
      </c>
      <c r="M21" s="23"/>
    </row>
    <row r="22" customFormat="false" ht="15" hidden="false" customHeight="false" outlineLevel="0" collapsed="false">
      <c r="A22" s="11" t="n">
        <v>18</v>
      </c>
      <c r="B22" s="19"/>
      <c r="C22" s="20"/>
      <c r="D22" s="20"/>
      <c r="E22" s="21"/>
      <c r="F22" s="21"/>
      <c r="G22" s="21"/>
      <c r="H22" s="21"/>
      <c r="I22" s="21"/>
      <c r="J22" s="22" t="str">
        <f aca="false">IF(OR($F22="",$G22=""),"",($G22-$F22)*1440)</f>
        <v/>
      </c>
      <c r="K22" s="22" t="str">
        <f aca="false">IF(OR($G22="",$H22=""),"",($H22-$G22)*1440)</f>
        <v/>
      </c>
      <c r="L22" s="22" t="str">
        <f aca="false">IF(OR($E22="",$I22=""),"",($I22-$E22)*1440)</f>
        <v/>
      </c>
      <c r="M22" s="23"/>
    </row>
    <row r="23" customFormat="false" ht="15" hidden="false" customHeight="false" outlineLevel="0" collapsed="false">
      <c r="A23" s="11" t="n">
        <v>19</v>
      </c>
      <c r="B23" s="19"/>
      <c r="C23" s="20"/>
      <c r="D23" s="20"/>
      <c r="E23" s="21"/>
      <c r="F23" s="21"/>
      <c r="G23" s="21"/>
      <c r="H23" s="21"/>
      <c r="I23" s="21"/>
      <c r="J23" s="22" t="str">
        <f aca="false">IF(OR($F23="",$G23=""),"",($G23-$F23)*1440)</f>
        <v/>
      </c>
      <c r="K23" s="22" t="str">
        <f aca="false">IF(OR($G23="",$H23=""),"",($H23-$G23)*1440)</f>
        <v/>
      </c>
      <c r="L23" s="22" t="str">
        <f aca="false">IF(OR($E23="",$I23=""),"",($I23-$E23)*1440)</f>
        <v/>
      </c>
      <c r="M23" s="23"/>
    </row>
    <row r="24" customFormat="false" ht="15" hidden="false" customHeight="false" outlineLevel="0" collapsed="false">
      <c r="A24" s="11" t="n">
        <v>20</v>
      </c>
      <c r="B24" s="19"/>
      <c r="C24" s="20"/>
      <c r="D24" s="20"/>
      <c r="E24" s="21"/>
      <c r="F24" s="21"/>
      <c r="G24" s="21"/>
      <c r="H24" s="21"/>
      <c r="I24" s="21"/>
      <c r="J24" s="22" t="str">
        <f aca="false">IF(OR($F24="",$G24=""),"",($G24-$F24)*1440)</f>
        <v/>
      </c>
      <c r="K24" s="22" t="str">
        <f aca="false">IF(OR($G24="",$H24=""),"",($H24-$G24)*1440)</f>
        <v/>
      </c>
      <c r="L24" s="22" t="str">
        <f aca="false">IF(OR($E24="",$I24=""),"",($I24-$E24)*1440)</f>
        <v/>
      </c>
      <c r="M24" s="23"/>
    </row>
    <row r="25" customFormat="false" ht="15" hidden="false" customHeight="false" outlineLevel="0" collapsed="false">
      <c r="A25" s="11" t="n">
        <v>21</v>
      </c>
      <c r="B25" s="19"/>
      <c r="C25" s="20"/>
      <c r="D25" s="20"/>
      <c r="E25" s="21"/>
      <c r="F25" s="21"/>
      <c r="G25" s="21"/>
      <c r="H25" s="21"/>
      <c r="I25" s="21"/>
      <c r="J25" s="22" t="str">
        <f aca="false">IF(OR($F25="",$G25=""),"",($G25-$F25)*1440)</f>
        <v/>
      </c>
      <c r="K25" s="22" t="str">
        <f aca="false">IF(OR($G25="",$H25=""),"",($H25-$G25)*1440)</f>
        <v/>
      </c>
      <c r="L25" s="22" t="str">
        <f aca="false">IF(OR($E25="",$I25=""),"",($I25-$E25)*1440)</f>
        <v/>
      </c>
      <c r="M25" s="23"/>
    </row>
    <row r="26" customFormat="false" ht="15" hidden="false" customHeight="false" outlineLevel="0" collapsed="false">
      <c r="A26" s="11" t="n">
        <v>22</v>
      </c>
      <c r="B26" s="19"/>
      <c r="C26" s="20"/>
      <c r="D26" s="20"/>
      <c r="E26" s="21"/>
      <c r="F26" s="21"/>
      <c r="G26" s="21"/>
      <c r="H26" s="21"/>
      <c r="I26" s="21"/>
      <c r="J26" s="22" t="str">
        <f aca="false">IF(OR($F26="",$G26=""),"",($G26-$F26)*1440)</f>
        <v/>
      </c>
      <c r="K26" s="22" t="str">
        <f aca="false">IF(OR($G26="",$H26=""),"",($H26-$G26)*1440)</f>
        <v/>
      </c>
      <c r="L26" s="22" t="str">
        <f aca="false">IF(OR($E26="",$I26=""),"",($I26-$E26)*1440)</f>
        <v/>
      </c>
      <c r="M26" s="23"/>
    </row>
    <row r="27" customFormat="false" ht="15" hidden="false" customHeight="false" outlineLevel="0" collapsed="false">
      <c r="A27" s="11" t="n">
        <v>23</v>
      </c>
      <c r="B27" s="19"/>
      <c r="C27" s="20"/>
      <c r="D27" s="20"/>
      <c r="E27" s="21"/>
      <c r="F27" s="21"/>
      <c r="G27" s="21"/>
      <c r="H27" s="21"/>
      <c r="I27" s="21"/>
      <c r="J27" s="22" t="str">
        <f aca="false">IF(OR($F27="",$G27=""),"",($G27-$F27)*1440)</f>
        <v/>
      </c>
      <c r="K27" s="22" t="str">
        <f aca="false">IF(OR($G27="",$H27=""),"",($H27-$G27)*1440)</f>
        <v/>
      </c>
      <c r="L27" s="22" t="str">
        <f aca="false">IF(OR($E27="",$I27=""),"",($I27-$E27)*1440)</f>
        <v/>
      </c>
      <c r="M27" s="23"/>
    </row>
    <row r="28" customFormat="false" ht="15" hidden="false" customHeight="false" outlineLevel="0" collapsed="false">
      <c r="A28" s="11" t="n">
        <v>24</v>
      </c>
      <c r="B28" s="19"/>
      <c r="C28" s="20"/>
      <c r="D28" s="20"/>
      <c r="E28" s="21"/>
      <c r="F28" s="21"/>
      <c r="G28" s="21"/>
      <c r="H28" s="21"/>
      <c r="I28" s="21"/>
      <c r="J28" s="22" t="str">
        <f aca="false">IF(OR($F28="",$G28=""),"",($G28-$F28)*1440)</f>
        <v/>
      </c>
      <c r="K28" s="22" t="str">
        <f aca="false">IF(OR($G28="",$H28=""),"",($H28-$G28)*1440)</f>
        <v/>
      </c>
      <c r="L28" s="22" t="str">
        <f aca="false">IF(OR($E28="",$I28=""),"",($I28-$E28)*1440)</f>
        <v/>
      </c>
      <c r="M28" s="23"/>
    </row>
    <row r="29" customFormat="false" ht="15" hidden="false" customHeight="false" outlineLevel="0" collapsed="false">
      <c r="A29" s="11" t="n">
        <v>25</v>
      </c>
      <c r="B29" s="19"/>
      <c r="C29" s="20"/>
      <c r="D29" s="20"/>
      <c r="E29" s="21"/>
      <c r="F29" s="21"/>
      <c r="G29" s="21"/>
      <c r="H29" s="21"/>
      <c r="I29" s="21"/>
      <c r="J29" s="22" t="str">
        <f aca="false">IF(OR($F29="",$G29=""),"",($G29-$F29)*1440)</f>
        <v/>
      </c>
      <c r="K29" s="22" t="str">
        <f aca="false">IF(OR($G29="",$H29=""),"",($H29-$G29)*1440)</f>
        <v/>
      </c>
      <c r="L29" s="22" t="str">
        <f aca="false">IF(OR($E29="",$I29=""),"",($I29-$E29)*1440)</f>
        <v/>
      </c>
      <c r="M29" s="23"/>
    </row>
  </sheetData>
  <dataValidations count="2">
    <dataValidation allowBlank="true" errorStyle="stop" operator="between" showDropDown="false" showErrorMessage="false" showInputMessage="false" sqref="C5:C29" type="list">
      <formula1>"Walk-in,Reserved,Phone booking"</formula1>
      <formula2>0</formula2>
    </dataValidation>
    <dataValidation allowBlank="true" errorStyle="stop" operator="between" showDropDown="false" showErrorMessage="false" showInputMessage="false" sqref="D5:D29"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3" min="3" style="0" width="56"/>
    <col collapsed="false" customWidth="true" hidden="false" outlineLevel="0" max="4" min="4" style="0" width="16"/>
  </cols>
  <sheetData>
    <row r="1" customFormat="false" ht="17.35" hidden="false" customHeight="false" outlineLevel="0" collapsed="false">
      <c r="A1" s="5" t="s">
        <v>61</v>
      </c>
    </row>
    <row r="2" customFormat="false" ht="15" hidden="false" customHeight="false" outlineLevel="0" collapsed="false">
      <c r="A2" s="6" t="s">
        <v>62</v>
      </c>
    </row>
    <row r="4" customFormat="false" ht="15" hidden="false" customHeight="false" outlineLevel="0" collapsed="false">
      <c r="A4" s="7" t="s">
        <v>40</v>
      </c>
      <c r="B4" s="7" t="s">
        <v>63</v>
      </c>
      <c r="C4" s="7" t="s">
        <v>64</v>
      </c>
      <c r="D4" s="7" t="s">
        <v>65</v>
      </c>
    </row>
    <row r="5" customFormat="false" ht="15" hidden="false" customHeight="false" outlineLevel="0" collapsed="false">
      <c r="A5" s="19"/>
      <c r="B5" s="20"/>
      <c r="C5" s="23"/>
      <c r="D5" s="20"/>
    </row>
    <row r="6" customFormat="false" ht="15" hidden="false" customHeight="false" outlineLevel="0" collapsed="false">
      <c r="A6" s="19"/>
      <c r="B6" s="20"/>
      <c r="C6" s="23"/>
      <c r="D6" s="20"/>
    </row>
    <row r="7" customFormat="false" ht="15" hidden="false" customHeight="false" outlineLevel="0" collapsed="false">
      <c r="A7" s="19"/>
      <c r="B7" s="20"/>
      <c r="C7" s="23"/>
      <c r="D7" s="20"/>
    </row>
    <row r="8" customFormat="false" ht="15" hidden="false" customHeight="false" outlineLevel="0" collapsed="false">
      <c r="A8" s="19"/>
      <c r="B8" s="20"/>
      <c r="C8" s="23"/>
      <c r="D8" s="20"/>
    </row>
    <row r="9" customFormat="false" ht="15" hidden="false" customHeight="false" outlineLevel="0" collapsed="false">
      <c r="A9" s="19"/>
      <c r="B9" s="20"/>
      <c r="C9" s="23"/>
      <c r="D9" s="20"/>
    </row>
    <row r="10" customFormat="false" ht="15" hidden="false" customHeight="false" outlineLevel="0" collapsed="false">
      <c r="A10" s="19"/>
      <c r="B10" s="20"/>
      <c r="C10" s="23"/>
      <c r="D10" s="20"/>
    </row>
    <row r="11" customFormat="false" ht="15" hidden="false" customHeight="false" outlineLevel="0" collapsed="false">
      <c r="A11" s="19"/>
      <c r="B11" s="20"/>
      <c r="C11" s="23"/>
      <c r="D11" s="20"/>
    </row>
    <row r="12" customFormat="false" ht="15" hidden="false" customHeight="false" outlineLevel="0" collapsed="false">
      <c r="A12" s="19"/>
      <c r="B12" s="20"/>
      <c r="C12" s="23"/>
      <c r="D12" s="20"/>
    </row>
    <row r="13" customFormat="false" ht="15" hidden="false" customHeight="false" outlineLevel="0" collapsed="false">
      <c r="A13" s="19"/>
      <c r="B13" s="20"/>
      <c r="C13" s="23"/>
      <c r="D13" s="20"/>
    </row>
    <row r="14" customFormat="false" ht="15" hidden="false" customHeight="false" outlineLevel="0" collapsed="false">
      <c r="A14" s="19"/>
      <c r="B14" s="20"/>
      <c r="C14" s="23"/>
      <c r="D14" s="20"/>
    </row>
    <row r="15" customFormat="false" ht="15" hidden="false" customHeight="false" outlineLevel="0" collapsed="false">
      <c r="A15" s="19"/>
      <c r="B15" s="20"/>
      <c r="C15" s="23"/>
      <c r="D15" s="20"/>
    </row>
    <row r="16" customFormat="false" ht="15" hidden="false" customHeight="false" outlineLevel="0" collapsed="false">
      <c r="A16" s="19"/>
      <c r="B16" s="20"/>
      <c r="C16" s="23"/>
      <c r="D16" s="20"/>
    </row>
    <row r="17" customFormat="false" ht="15" hidden="false" customHeight="false" outlineLevel="0" collapsed="false">
      <c r="A17" s="19"/>
      <c r="B17" s="20"/>
      <c r="C17" s="23"/>
      <c r="D17" s="20"/>
    </row>
    <row r="18" customFormat="false" ht="15" hidden="false" customHeight="false" outlineLevel="0" collapsed="false">
      <c r="A18" s="19"/>
      <c r="B18" s="20"/>
      <c r="C18" s="23"/>
      <c r="D18" s="20"/>
    </row>
    <row r="19" customFormat="false" ht="15" hidden="false" customHeight="false" outlineLevel="0" collapsed="false">
      <c r="A19" s="19"/>
      <c r="B19" s="20"/>
      <c r="C19" s="23"/>
      <c r="D19" s="20"/>
    </row>
    <row r="20" customFormat="false" ht="15" hidden="false" customHeight="false" outlineLevel="0" collapsed="false">
      <c r="A20" s="19"/>
      <c r="B20" s="20"/>
      <c r="C20" s="23"/>
      <c r="D20" s="20"/>
    </row>
    <row r="21" customFormat="false" ht="15" hidden="false" customHeight="false" outlineLevel="0" collapsed="false">
      <c r="A21" s="19"/>
      <c r="B21" s="20"/>
      <c r="C21" s="23"/>
      <c r="D21" s="20"/>
    </row>
    <row r="22" customFormat="false" ht="15" hidden="false" customHeight="false" outlineLevel="0" collapsed="false">
      <c r="A22" s="19"/>
      <c r="B22" s="20"/>
      <c r="C22" s="23"/>
      <c r="D22" s="20"/>
    </row>
    <row r="23" customFormat="false" ht="15" hidden="false" customHeight="false" outlineLevel="0" collapsed="false">
      <c r="A23" s="19"/>
      <c r="B23" s="20"/>
      <c r="C23" s="23"/>
      <c r="D23" s="20"/>
    </row>
    <row r="24" customFormat="false" ht="15" hidden="false" customHeight="false" outlineLevel="0" collapsed="false">
      <c r="A24" s="19"/>
      <c r="B24" s="20"/>
      <c r="C24" s="23"/>
      <c r="D24" s="20"/>
    </row>
  </sheetData>
  <dataValidations count="1">
    <dataValidation allowBlank="true" errorStyle="stop" operator="between" showDropDown="false" showErrorMessage="false" showInputMessage="false" sqref="B5:B24" type="list">
      <formula1>"Double-booking,No-show,Late cancellation,Illegible record,Client turned away,Schedule conflict,Other"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2026-08-15T07:23:29Z</dcterms:created>
  <dc:creator>openpyxl</dc:creator>
  <dc:description/>
  <dc:language>en-US</dc:language>
  <cp:lastModifiedBy/>
  <dcterms:modified xsi:type="dcterms:W3CDTF">2026-08-15T07:23:29Z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