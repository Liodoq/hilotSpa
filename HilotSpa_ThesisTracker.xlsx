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ummary" sheetId="1" state="visible" r:id="rId3"/>
    <sheet name="Tasks" sheetId="2" state="visible" r:id="rId4"/>
    <sheet name="Bugs" sheetId="3" state="visible" r:id="rId5"/>
    <sheet name="Defense Risks" sheetId="4" state="visible" r:id="rId6"/>
  </sheets>
  <definedNames>
    <definedName function="false" hidden="true" localSheetId="2" name="_xlnm._FilterDatabase" vbProcedure="false">Bugs!$A$3:$G$36</definedName>
    <definedName function="false" hidden="true" localSheetId="1" name="_xlnm._FilterDatabase" vbProcedure="false">Tasks!$A$4:$G$44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<sst xmlns="http://schemas.openxmlformats.org/spreadsheetml/2006/main" count="2005" uniqueCount="1201">
  <si>
    <t xml:space="preserve">HilotSpa — Progress Summary</t>
  </si>
  <si>
    <t xml:space="preserve">Live formulas over the Tasks and Bugs sheets. Ranges run to row 400 on purpose: they were pinned to the exact last row (132) and a task appended below it was silently left out of every count. Widened 2026-09-02.</t>
  </si>
  <si>
    <t xml:space="preserve">Sprint</t>
  </si>
  <si>
    <t xml:space="preserve">Total</t>
  </si>
  <si>
    <t xml:space="preserve">Done</t>
  </si>
  <si>
    <t xml:space="preserve">In Progress</t>
  </si>
  <si>
    <t xml:space="preserve">Not Started</t>
  </si>
  <si>
    <t xml:space="preserve">Blocked</t>
  </si>
  <si>
    <t xml:space="preserve">% Complete</t>
  </si>
  <si>
    <t xml:space="preserve">Sprint 0</t>
  </si>
  <si>
    <t xml:space="preserve">Sprint 1</t>
  </si>
  <si>
    <t xml:space="preserve">Sprint 2</t>
  </si>
  <si>
    <t xml:space="preserve">Sprint 3</t>
  </si>
  <si>
    <t xml:space="preserve">Sprint 4</t>
  </si>
  <si>
    <t xml:space="preserve">TOTAL</t>
  </si>
  <si>
    <t xml:space="preserve">Open bugs</t>
  </si>
  <si>
    <t xml:space="preserve">Critical open</t>
  </si>
  <si>
    <t xml:space="preserve">HilotSpa — Task Tracker</t>
  </si>
  <si>
    <t xml:space="preserve">Statuses: Not Started / In Progress / Done / Blocked / N/A  (dropdown in column E)</t>
  </si>
  <si>
    <t xml:space="preserve">ID</t>
  </si>
  <si>
    <t xml:space="preserve">Task</t>
  </si>
  <si>
    <t xml:space="preserve">Detail</t>
  </si>
  <si>
    <t xml:space="preserve">Status</t>
  </si>
  <si>
    <t xml:space="preserve">Owner</t>
  </si>
  <si>
    <t xml:space="preserve">Notes</t>
  </si>
  <si>
    <t xml:space="preserve">0.1</t>
  </si>
  <si>
    <t xml:space="preserve">Fix trivial model bugs</t>
  </si>
  <si>
    <t xml:space="preserve">FormsRepository return types, User.demographics OneToOne, massage table typo, durationMinute, compose.yaml space</t>
  </si>
  <si>
    <t xml:space="preserve">Liodoq</t>
  </si>
  <si>
    <t xml:space="preserve">Reviewed and confirmed correct.</t>
  </si>
  <si>
    <t xml:space="preserve">0.2</t>
  </si>
  <si>
    <t xml:space="preserve">Invert Forms &lt;-&gt; PatientIntake to one-to-many</t>
  </si>
  <si>
    <t xml:space="preserve">A form must hold MANY pain points. Touches Forms, PatientIntake, FormsModel, both repositories, FormsServiceImpl, FormsTransformImpl.</t>
  </si>
  <si>
    <t xml:space="preserve">Closed. B6-B11 all fixed. Aggregate-root design: Forms is the only door into pain points.</t>
  </si>
  <si>
    <t xml:space="preserve">0.3</t>
  </si>
  <si>
    <t xml:space="preserve">Migrate all primary keys to UUID</t>
  </si>
  <si>
    <t xml:space="preserve">Highest-leverage item. Integer IDs collide across branch nodes and make P2P sync impossible.</t>
  </si>
  <si>
    <t xml:space="preserve">Claude</t>
  </si>
  <si>
    <t xml:space="preserve">All 36 files migrated. Domain Integers (painScore, coords, age, height, weight, durationMinute) intentionally left as Integer.</t>
  </si>
  <si>
    <t xml:space="preserve">0.4</t>
  </si>
  <si>
    <t xml:space="preserve">Add security fields to User</t>
  </si>
  <si>
    <t xml:space="preserve">passwordHash, enabled, branch FK, role as @Enumerated enum CUSTOMER/STAFF/ADMIN.</t>
  </si>
  <si>
    <t xml:space="preserve">passwordHash, enabled, branch FK, role as @Enumerated(EnumType.STRING) enum. Branch resolved in create + update.</t>
  </si>
  <si>
    <t xml:space="preserve">0.5</t>
  </si>
  <si>
    <t xml:space="preserve">Add the missing core entities</t>
  </si>
  <si>
    <t xml:space="preserve">Appointment, Therapist, Room, ServiceProtocol, Contraindication, AuditLog.</t>
  </si>
  <si>
    <t xml:space="preserve">ALL of 0.5 complete. 18 entities, 11 repositories. Therapist, Room, ServiceProtocol (+ProtocolRule), Appointment (+AppointmentStatus/PaymentStatus/BookingSource), AuditLog, ComplaintType. App boots clean against a live schema.</t>
  </si>
  <si>
    <t xml:space="preserve">0.6</t>
  </si>
  <si>
    <t xml:space="preserve">Spring Security + JWT + RBAC</t>
  </si>
  <si>
    <t xml:space="preserve">Satisfies FR#4 and Process Rules #1 and #5. Staff restricted to their own Branch ID at query level.</t>
  </si>
  <si>
    <t xml:space="preserve">Liodoq+Claude</t>
  </si>
  <si>
    <t xml:space="preserve">Auth, RBAC endpoint rules, and query-level branch scoping all shipped (0.6a-0.6c-2). B29/B30 closed.</t>
  </si>
  <si>
    <t xml:space="preserve">0.7</t>
  </si>
  <si>
    <t xml:space="preserve">Infra: Flyway, Redis, secrets</t>
  </si>
  <si>
    <t xml:space="preserve">Flyway so every node shares an identical schema. Redis into pom.xml + compose.yaml.</t>
  </si>
  <si>
    <t xml:space="preserve">Closed 2026-08-30. Flyway owns the schema; Hibernate switched to ddl-auto=validate and PASSED against the live database on the first try, which also proves the V1 baseline dump is accurate. V1 is a pg_dump of the schema as ddl-auto left it (three lines stripped: \restrict / \unrestrict psql meta-commands that pg_dump 15.18 emits and JDBC cannot parse, and the search_path reset that would have broken Flyway's own INSERT into flyway_schema_history). Both settings are env-driven - FLYWAY_ENABLED / DDL_AUTO - so the rollback is deleting two lines from .env, no rebuild. THE TRAP: on Spring Boot 4, flyway-core alone is NOT enough. Boot 4 split auto-configuration into one module per technology, so FlywayAutoConfiguration ships with spring-boot-starter-flyway. With only flyway-core the library is present, the auto-configuration is not, and every spring.flyway.* property is an inert string - no error, no warning, no log line, the app starts perfectly and never migrates. Cost about 40 minutes of chasing a stale Docker image that was not stale. | PROVEN IN ANGER 2026-08-31, the very first entity change after the switch: Massage.imageName was added without a migration and all 33 tests errored with 'Schema validation: missing column [image_name] in table [massage]' - a refusal to start, naming the exact table and column. Under the old ddl-auto=update Hibernate would have silently added it on one machine and left every other node missing it, which is B66/B77/B85 exactly. Fixed by V3__service_photo.sql. Good defence answer: the schema is versioned and the system refuses to run against a database it does not recognise - and we have a real incident to describe, not a claim.</t>
  </si>
  <si>
    <t xml:space="preserve">0.8</t>
  </si>
  <si>
    <t xml:space="preserve">Scaffold the Angular project</t>
  </si>
  <si>
    <t xml:space="preserve">Fresh Angular app + Tailwind, wired to the backend.</t>
  </si>
  <si>
    <t xml:space="preserve">Angular 21.2 + Tailwind 4, committed 2169414 / d82f8ae.</t>
  </si>
  <si>
    <t xml:space="preserve">1.1</t>
  </si>
  <si>
    <t xml:space="preserve">2D body map component (front + back SVG)</t>
  </si>
  <si>
    <t xml:space="preserve">Angular canvas/SVG. Paper Scope: '2D Visualization of front and back body parts'.</t>
  </si>
  <si>
    <t xml:space="preserve">shared/body-map — front and back SVG, percentage coordinates.</t>
  </si>
  <si>
    <t xml:space="preserve">1.2</t>
  </si>
  <si>
    <t xml:space="preserve">Tap-to-place pain markers with severity</t>
  </si>
  <si>
    <t xml:space="preserve">Marker stores bodyView, anatomicalRegion, x, y, painScore 1-10.</t>
  </si>
  <si>
    <t xml:space="preserve">Tap to place, drag-free severity 1-10, remove, region auto-guess with an editable dropdown.</t>
  </si>
  <si>
    <t xml:space="preserve">1.3</t>
  </si>
  <si>
    <t xml:space="preserve">25-item complaint checklist</t>
  </si>
  <si>
    <t xml:space="preserve">Neck Pain ... TMJ Disorder + Others. Exact list from paper Scope + Appendix A.</t>
  </si>
  <si>
    <t xml:space="preserve">All 24 conditions + Others, verbatim from Appendix A, with live filtering.</t>
  </si>
  <si>
    <t xml:space="preserve">1.4</t>
  </si>
  <si>
    <t xml:space="preserve">Pain vs Leisure fork on first screen</t>
  </si>
  <si>
    <t xml:space="preserve">Leisure path completes an assessment in one tap. Resolves the Process Rule #2 contradiction.</t>
  </si>
  <si>
    <t xml:space="preserve">C2 built. intent is recorded on Forms (H6), so the leisure path is a real, distinguishable record.</t>
  </si>
  <si>
    <t xml:space="preserve">1.5</t>
  </si>
  <si>
    <t xml:space="preserve">Age-inclusive styling</t>
  </si>
  <si>
    <t xml:space="preserve">High contrast, &gt;=18px base font, &gt;=44px touch targets, warm palette, simplified navigation.</t>
  </si>
  <si>
    <t xml:space="preserve">13 tokens, 68px targets, 6.88:1 brand contrast, prefers-reduced-motion. Evidence in paper-deltas SS I.</t>
  </si>
  <si>
    <t xml:space="preserve">1.6</t>
  </si>
  <si>
    <t xml:space="preserve">Demographics capture screen</t>
  </si>
  <si>
    <t xml:space="preserve">Age, sex, status, height, weight, birthdate. Mirrors the paper intake form.</t>
  </si>
  <si>
    <t xml:space="preserve">C3 built. NOTE: a CUSTOMER cannot save it yet - see B43.</t>
  </si>
  <si>
    <t xml:space="preserve">1.7</t>
  </si>
  <si>
    <t xml:space="preserve">Submit form + pain points to backend</t>
  </si>
  <si>
    <t xml:space="preserve">Single POST carrying form and its painPoints array.</t>
  </si>
  <si>
    <t xml:space="preserve">Proven 2026-08-25 - a real assessment reached Postgres and came back out through the assistant (see 1.16).</t>
  </si>
  <si>
    <t xml:space="preserve">2.1</t>
  </si>
  <si>
    <t xml:space="preserve">Redis temporary resource locking</t>
  </si>
  <si>
    <t xml:space="preserve">Lock therapist + room + slot with a TTL while booking is in progress.</t>
  </si>
  <si>
    <t xml:space="preserve">N/A</t>
  </si>
  <si>
    <t xml:space="preserve">SUPERSEDED by 2.37, 2026-08-30. Process Rule #4 needed a guarantee that two transactions cannot award the same therapist or room; that guarantee now lives in Postgres as EXCLUDE USING gist, partial on blocking statuses, half-open ranges. A database constraint is strictly stronger than a Redis lock - it cannot be bypassed by a caller that forgets to take it, and it survives a cache restart. Marked N/A rather than Not Started so the sprint total is not understated at the defence.</t>
  </si>
  <si>
    <t xml:space="preserve">2.2</t>
  </si>
  <si>
    <t xml:space="preserve">n8n workflow scaffolding</t>
  </si>
  <si>
    <t xml:space="preserve">Assemble prompt -&gt; call Gemini -&gt; validate response -&gt; write booking.</t>
  </si>
  <si>
    <t xml:space="preserve">Two published workflows in n8n/, version-controlled as files: hilotspa-recommend and hilotspa-chat.</t>
  </si>
  <si>
    <t xml:space="preserve">2.3</t>
  </si>
  <si>
    <t xml:space="preserve">Gemini call with constrained structured output</t>
  </si>
  <si>
    <t xml:space="preserve">recommendedServiceId is an enum of real catalog UUIDs so the model cannot invent a service.</t>
  </si>
  <si>
    <t xml:space="preserve">The model never names a service; it ranks ids Spring sent. n8n drops any id it did not receive, then Java re-validates. Two independent checks, and rejectedCount makes the discard rate countable.</t>
  </si>
  <si>
    <t xml:space="preserve">2.4</t>
  </si>
  <si>
    <t xml:space="preserve">Contraindication filter applied BEFORE the AI call</t>
  </si>
  <si>
    <t xml:space="preserve">Deterministic table authored by the spa. AI only ever sees an already-safe list.</t>
  </si>
  <si>
    <t xml:space="preserve">MECHANISM DONE and verified: allowedServicesFor() filters ServiceProtocol before the n8n call, and the excluded count is shown to the client. THE RULES THEMSELVES DO NOT EXIST YET - 0 CONTRAINDICATED rows, so it currently excludes nothing. See 4.13 and R18.</t>
  </si>
  <si>
    <t xml:space="preserve">2.5</t>
  </si>
  <si>
    <t xml:space="preserve">Chat UI</t>
  </si>
  <si>
    <t xml:space="preserve">Task-first, short structured replies, not chatty. Supported by [10].</t>
  </si>
  <si>
    <t xml:space="preserve">Real relay as of 2026-08-25. Replies come from Vertex through Spring, quoting price and duration read from Postgres.</t>
  </si>
  <si>
    <t xml:space="preserve">2.6</t>
  </si>
  <si>
    <t xml:space="preserve">Virtual voice + subtitles</t>
  </si>
  <si>
    <t xml:space="preserve">Web Speech API: SpeechSynthesis out, SpeechRecognition in.</t>
  </si>
  <si>
    <t xml:space="preserve">Built 2026-08-30. core/speech.service.ts (382 lines): SpeechSynthesis out (sentence chunking, boundary-event captions, rate 0.95 for NFR#4, voice picked per language, Chrome keep-alive) + SpeechRecognition in (interim results shown live, plain-language error mapping, recognised sentence goes into the SAME draft box and through send(), so voice adds no new server path). Caption band tracks the voice word by word; Voice on/off, Say it again and English/Filipino controls; both halves feature-detected so Safari and Android fall back to typing instead of a dead button. ngc clean, template type-check verified live, no DI cycles.</t>
  </si>
  <si>
    <t xml:space="preserve">2.7</t>
  </si>
  <si>
    <t xml:space="preserve">Conversational booking creates an Appointment</t>
  </si>
  <si>
    <t xml:space="preserve">Negotiate slot against branch resources, then confirm and persist.</t>
  </si>
  <si>
    <t xml:space="preserve">VERIFIED LIVE 2026-08-25: reference 6A6E5CD8, Signature Massage 90 min, Thu 27 Aug 10:00, Lito Fernandez, Treatment Room 1, source CHATBOT.</t>
  </si>
  <si>
    <t xml:space="preserve">2.8</t>
  </si>
  <si>
    <t xml:space="preserve">Taglish / code-switch handling</t>
  </si>
  <si>
    <t xml:space="preserve">System prompt instructs code-switched Filipino-English. Demo this at defense.</t>
  </si>
  <si>
    <t xml:space="preserve">Closed 2026-08-30. Prompt rule: mirror the client - Taglish for Taglish, Filipino for Filipino, po/opo kept. Service names and slot labels explicitly never translated, because a translated time is a misquoted time. Cited reference [35] is now a built feature, not just a citation.</t>
  </si>
  <si>
    <t xml:space="preserve">3.1</t>
  </si>
  <si>
    <t xml:space="preserve">Append-only sync_log table</t>
  </si>
  <si>
    <t xml:space="preserve">nodeId + monotonic sequenceNo per node. Peers pull everything after seq N.</t>
  </si>
  <si>
    <t xml:space="preserve">Requires UUID keys (0.3).</t>
  </si>
  <si>
    <t xml:space="preserve">3.2</t>
  </si>
  <si>
    <t xml:space="preserve">Node registry</t>
  </si>
  <si>
    <t xml:space="preserve">Each node knows its peers' addresses and last-seen sequence numbers.</t>
  </si>
  <si>
    <t xml:space="preserve">3.3</t>
  </si>
  <si>
    <t xml:space="preserve">Pull-based gossip between peers</t>
  </si>
  <si>
    <t xml:space="preserve">Broadcast local changes, pull remote changes, apply to read-only replicas.</t>
  </si>
  <si>
    <t xml:space="preserve">FR#3</t>
  </si>
  <si>
    <t xml:space="preserve">3.4</t>
  </si>
  <si>
    <t xml:space="preserve">Enforce single-writer-per-partition</t>
  </si>
  <si>
    <t xml:space="preserve">A node may only write resources it owns. Makes split-brain structurally impossible.</t>
  </si>
  <si>
    <t xml:space="preserve">Half of it is now enforced, and it is the half that can be. 2026-08-30: a therapist and a room each belong to exactly one branch (schema), and Flyway migration V2 adds EXCLUDE constraints so the database itself refuses an overlapping write. Within a node, single-writer is a mechanism rather than a convention. What remains is the cross-node half - a node refusing to write a resource it does not own - which needs the node registry (3.2) to exist first.</t>
  </si>
  <si>
    <t xml:space="preserve">3.5</t>
  </si>
  <si>
    <t xml:space="preserve">Admin aggregated dashboard</t>
  </si>
  <si>
    <t xml:space="preserve">Global view across all branch nodes.</t>
  </si>
  <si>
    <t xml:space="preserve">A1 now counts live: bookings today/this week, assessments, therapists available, rooms, and assistant reliability read out of audit_log. Reports ONE node and says on screen that the registry is Sprint 3 - a second node drawn as offline would be a picture of a feature.</t>
  </si>
  <si>
    <t xml:space="preserve">3.6</t>
  </si>
  <si>
    <t xml:space="preserve">Context switch into a specific branch</t>
  </si>
  <si>
    <t xml:space="preserve">Admin loads a branch's local dashboard.</t>
  </si>
  <si>
    <t xml:space="preserve">A2 built (context switching UI). Opening a branch reuses S1.</t>
  </si>
  <si>
    <t xml:space="preserve">3.7</t>
  </si>
  <si>
    <t xml:space="preserve">Offline mode + visible status banner</t>
  </si>
  <si>
    <t xml:space="preserve">Branch keeps booking its own resources with no internet. Syncs on reconnect.</t>
  </si>
  <si>
    <t xml:space="preserve">Built 2026-08-30. core/connectivity.ts tracks TWO states, not one: `offline` from the browser's own events, and `unreachable` set only after a request returned status 0 - no HTTP response at all, as opposed to a 500 which means the server is alive and struggling. The distinction is the architecture in one banner: at the branch, staff reach their node over the LAN, so an INTERNET outage does not touch them - only their node going down does. Wired through the HTTP interceptor, which is the only place that sees every request and its outcome. Real banner in AppNav (customer) and DashShell (staff/admin), ABOVE the existing simulated-offline banner so the two can never be confused. Wording promises nothing about queueing, because there is no service worker and no local write queue - it says only what is true: a booking already made is on the server and unaffected.</t>
  </si>
  <si>
    <t xml:space="preserve">3.8</t>
  </si>
  <si>
    <t xml:space="preserve">Global configuration broadcast</t>
  </si>
  <si>
    <t xml:space="preserve">Admin edits service menu / pricing, broadcast to all nodes.</t>
  </si>
  <si>
    <t xml:space="preserve">A4 reads and writes real service_protocol rows and logs PROTOCOL_EDITED. No broadcast mechanism yet - there is only one node to broadcast to.</t>
  </si>
  <si>
    <t xml:space="preserve">3.9</t>
  </si>
  <si>
    <t xml:space="preserve">Audit log generation</t>
  </si>
  <si>
    <t xml:space="preserve">Per-node audit trail, aggregated for the admin.</t>
  </si>
  <si>
    <t xml:space="preserve">AuditLog is written by the booking, assistant, resource, protocol and outcome paths, and A5 reads it. Cross-node aggregation is 3.3.</t>
  </si>
  <si>
    <t xml:space="preserve">3.10</t>
  </si>
  <si>
    <t xml:space="preserve">Stand up a SECOND node for the demo</t>
  </si>
  <si>
    <t xml:space="preserve">Second laptop or VM on the same LAN. You cannot demo decentralization with one node.</t>
  </si>
  <si>
    <t xml:space="preserve">Research locale names only one branch. See Defense Risks R5.</t>
  </si>
  <si>
    <t xml:space="preserve">4.1</t>
  </si>
  <si>
    <t xml:space="preserve">Pre-implementation baseline timing</t>
  </si>
  <si>
    <t xml:space="preserve">Stopwatch ~20 real clients on the manual workflow BEFORE deployment.</t>
  </si>
  <si>
    <t xml:space="preserve">Paper claims 10-15 min manual intake. Prove it.</t>
  </si>
  <si>
    <t xml:space="preserve">4.2</t>
  </si>
  <si>
    <t xml:space="preserve">TAM instrument (validated item set)</t>
  </si>
  <si>
    <t xml:space="preserve">Perceived Ease of Use + Perceived Usefulness, 5-point Likert. Use Davis/Venkatesh items and cite.</t>
  </si>
  <si>
    <t xml:space="preserve">4.3</t>
  </si>
  <si>
    <t xml:space="preserve">CUQ instrument (real 16 items)</t>
  </si>
  <si>
    <t xml:space="preserve">Holmes et al. 16 alternating positive/negative items with the official 0-100 scoring formula.</t>
  </si>
  <si>
    <t xml:space="preserve">Do not invent your own questions.</t>
  </si>
  <si>
    <t xml:space="preserve">4.4</t>
  </si>
  <si>
    <t xml:space="preserve">Technical &amp; Operational Checklist</t>
  </si>
  <si>
    <t xml:space="preserve">AI-vs-therapist agreement rate, 0 out-of-catalog outputs, sync latency, offline recovery time.</t>
  </si>
  <si>
    <t xml:space="preserve">This is how you measure 'AI reliability'. See Defense Risks R6.</t>
  </si>
  <si>
    <t xml:space="preserve">4.5</t>
  </si>
  <si>
    <t xml:space="preserve">Run UAT with customers, staff, admin</t>
  </si>
  <si>
    <t xml:space="preserve">Non-probability sampling across the three role groups.</t>
  </si>
  <si>
    <t xml:space="preserve">4.6</t>
  </si>
  <si>
    <t xml:space="preserve">Weighted mean + frequency analysis</t>
  </si>
  <si>
    <t xml:space="preserve">Apply the paper's Likert interpretation guide.</t>
  </si>
  <si>
    <t xml:space="preserve">4.7</t>
  </si>
  <si>
    <t xml:space="preserve">Write Chapter IV</t>
  </si>
  <si>
    <t xml:space="preserve">Before/after tables, TAM/CUQ results, checklist results.</t>
  </si>
  <si>
    <t xml:space="preserve">0.9</t>
  </si>
  <si>
    <t xml:space="preserve">Seven schema corrections from Appendix A</t>
  </si>
  <si>
    <t xml:space="preserve">H1-H6 plus H8: intent, AnatomicalRegion, BodyView, occupation, medicalHistory/therapyDetail, painScoreBefore/After, and side (L/R).</t>
  </si>
  <si>
    <t xml:space="preserve">Superseded by 0.11 - all seven (H1-H6 plus H8) shipped and verified against a fresh volume. Kept for the audit trail.</t>
  </si>
  <si>
    <t xml:space="preserve">1.8</t>
  </si>
  <si>
    <t xml:space="preserve">Design tokens + interaction layer</t>
  </si>
  <si>
    <t xml:space="preserve">tailwind.css @theme static, styles.scss vocabulary, interactions.scss (hover, focus rings, reduced motion).</t>
  </si>
  <si>
    <t xml:space="preserve">Same token names as the Figma HilotSpa collection, so design and code cannot drift.</t>
  </si>
  <si>
    <t xml:space="preserve">1.9</t>
  </si>
  <si>
    <t xml:space="preserve">Auth screens P1 + P2 wired to the API</t>
  </si>
  <si>
    <t xml:space="preserve">Login, register, JWT interceptor, auth guard, role-aware landing.</t>
  </si>
  <si>
    <t xml:space="preserve">Errors deliberately vague on login so emails cannot be enumerated.</t>
  </si>
  <si>
    <t xml:space="preserve">1.10</t>
  </si>
  <si>
    <t xml:space="preserve">Assessment wizard shell + single-write store</t>
  </si>
  <si>
    <t xml:space="preserve">Shell (topbar/progress/footer), AssessmentStore holding one draft across C2-C7.</t>
  </si>
  <si>
    <t xml:space="preserve">Forms is an aggregate root, so the UI posts once. Six components each calling the API would contradict the schema.</t>
  </si>
  <si>
    <t xml:space="preserve">1.11</t>
  </si>
  <si>
    <t xml:space="preserve">Prove one assessment round-trips into Postgres</t>
  </si>
  <si>
    <t xml:space="preserve">Submit from C7, confirm the forms row and its patient_intake children exist.</t>
  </si>
  <si>
    <t xml:space="preserve">Superseded by 1.16 - proven 2026-08-25. Kept for the audit trail. Still to do: run verify.sql and screenshot it for Ch.IV.</t>
  </si>
  <si>
    <t xml:space="preserve">2.9</t>
  </si>
  <si>
    <t xml:space="preserve">C8 Services screen with visible contraindication filtering</t>
  </si>
  <si>
    <t xml:space="preserve">Excluded services shown greyed with the reason and the practitioner named.</t>
  </si>
  <si>
    <t xml:space="preserve">Wired to GET /assistant/catalogue 2026-08-26. Excluded rows render greyed with the stored rule and reason. Shows nothing excluded until 4.13 lands, which is honest.</t>
  </si>
  <si>
    <t xml:space="preserve">3.11</t>
  </si>
  <si>
    <t xml:space="preserve">Staff screens S1-S5</t>
  </si>
  <si>
    <t xml:space="preserve">Dashboard, queue, therapist/room status, pre-assessment report, walk-in.</t>
  </si>
  <si>
    <t xml:space="preserve">2026-09-01: S2 now does real work - it closes off visits, cancels bookings, and carries a month calendar reaching every other day. What is still missing is only the ORDERING a queue needs: there is no walk_in table holding arrival time, so nobody can be told they are third. See B86 and 3.17.</t>
  </si>
  <si>
    <t xml:space="preserve">3.12</t>
  </si>
  <si>
    <t xml:space="preserve">Admin screens A1-A5</t>
  </si>
  <si>
    <t xml:space="preserve">Node overview, context switch, accounts, configuration, audit log.</t>
  </si>
  <si>
    <t xml:space="preserve">All five off demo.ts as of 2026-08-26. demo.ts itself has been deleted.</t>
  </si>
  <si>
    <t xml:space="preserve">4.8</t>
  </si>
  <si>
    <t xml:space="preserve">Treatment-history review at the spa</t>
  </si>
  <si>
    <t xml:space="preserve">De-identified complaint -&gt; service for a defined window. Feeds ServiceProtocol and the agreement-rate metric.</t>
  </si>
  <si>
    <t xml:space="preserve">DONE 2026-08-26 - 137 archived records reviewed at the spa. 18 distinct complaints observed; 6 of the 24 Appendix A conditions never appear. Protocol Draft now pre-filled with the historical service per complaint and its count, so the practitioner reviews rather than authors.</t>
  </si>
  <si>
    <t xml:space="preserve">4.9</t>
  </si>
  <si>
    <t xml:space="preserve">Get the ServiceProtocol table signed</t>
  </si>
  <si>
    <t xml:space="preserve">Reviewed and signed by Gary O. Trinidad, the bone setter named on the intake form.</t>
  </si>
  <si>
    <t xml:space="preserve">This is what makes "we do not give medical advice" true rather than asserted.</t>
  </si>
  <si>
    <t xml:space="preserve">4.10</t>
  </si>
  <si>
    <t xml:space="preserve">Adviser sign-off on the methodology change (SS A1)</t>
  </si>
  <si>
    <t xml:space="preserve">The retrospective records review is not in the frozen Chapter 3.</t>
  </si>
  <si>
    <t xml:space="preserve">Has a human response time you do not control. Send it before collecting anything.</t>
  </si>
  <si>
    <t xml:space="preserve">4.11</t>
  </si>
  <si>
    <t xml:space="preserve">Resolve the locale name and the disclosure (SS A3, A4)</t>
  </si>
  <si>
    <t xml:space="preserve">Knead Wellness Spa vs Hilotin Spa and Wellness Center; researcher/owner surname relationship; letter dated July 20.</t>
  </si>
  <si>
    <t xml:space="preserve">Three sentences of paper text, one adviser decision, one corrected date.</t>
  </si>
  <si>
    <t xml:space="preserve">0.10</t>
  </si>
  <si>
    <t xml:space="preserve">UI/UX revision pass from the review document</t>
  </si>
  <si>
    <t xml:space="preserve">22 items with screenshots in UIUX Documentation and Revisions.docx. Bugs, flow changes and polish across 7 screens.</t>
  </si>
  <si>
    <t xml:space="preserve">Efficient format - one document, one pass. Worth repeating.</t>
  </si>
  <si>
    <t xml:space="preserve">1.12</t>
  </si>
  <si>
    <t xml:space="preserve">Move demographics from the wizard to the profile</t>
  </si>
  <si>
    <t xml:space="preserve">ProfileStore + /profile + profileGuard. The wizard is 5 steps, not 6; a returning client is never asked again.</t>
  </si>
  <si>
    <t xml:space="preserve">They belong to the person, not the visit. Also makes B43 far less urgent.</t>
  </si>
  <si>
    <t xml:space="preserve">1.13</t>
  </si>
  <si>
    <t xml:space="preserve">Rebuild the body map on fixed anatomical hotspots</t>
  </si>
  <si>
    <t xml:space="preserve">30 positions (14 front, 16 back) covering all 11 regions. Hover preview, no marks in empty space, one open spot at a time.</t>
  </si>
  <si>
    <t xml:space="preserve">Fixes markers landing off the body AND the blank region names. Makes coordinates aggregatable across clients, which A1 depends on.</t>
  </si>
  <si>
    <t xml:space="preserve">1.14</t>
  </si>
  <si>
    <t xml:space="preserve">Read-only session report</t>
  </si>
  <si>
    <t xml:space="preserve">/report/:id - date, service, BEFORE/AFTER pain with the drop, body map, practitioner notes.</t>
  </si>
  <si>
    <t xml:space="preserve">"View report" used to open the live wizard, so a finished session could be rewritten from the home page.</t>
  </si>
  <si>
    <t xml:space="preserve">2.10</t>
  </si>
  <si>
    <t xml:space="preserve">Service detail pages + booking flow</t>
  </si>
  <si>
    <t xml:space="preserve">/services/:id with a photo, what it helps, what it is not advised with. Choose starts the pre-assessment, then the assistant.</t>
  </si>
  <si>
    <t xml:space="preserve">UI only. NOTE: a 23rd screen - outside the paper 22-page inventory. See Risk R14.</t>
  </si>
  <si>
    <t xml:space="preserve">0.11</t>
  </si>
  <si>
    <t xml:space="preserve">Track A - the six Appendix A schema changes (SS H1-H6, H8)</t>
  </si>
  <si>
    <t xml:space="preserve">AnatomicalRegion/BodyView/Side enums, painScoreBefore+painScoreAfter, Demographics.occupation, medicalHistory, therapyDetail, hasTherapy as Boolean.</t>
  </si>
  <si>
    <t xml:space="preserve">painScoreBefore/After is a free quantitative outcome measure for Ch.IV. Boots clean against a fresh volume.</t>
  </si>
  <si>
    <t xml:space="preserve">0.12</t>
  </si>
  <si>
    <t xml:space="preserve">Repository sweep after the field renames</t>
  </si>
  <si>
    <t xml:space="preserve">Deleted two stale derived-query methods on PatientIntakeRepository; audited all 12 repositories and every @Query string.</t>
  </si>
  <si>
    <t xml:space="preserve">Caused a boot crash loop. Grepping accessors is NOT enough after a rename - Spring derives queries from method names.</t>
  </si>
  <si>
    <t xml:space="preserve">0.13</t>
  </si>
  <si>
    <t xml:space="preserve">Pin the n8n image version</t>
  </si>
  <si>
    <t xml:space="preserve">compose.yaml runs docker.n8n.io/n8nio/n8n:latest. Run 'docker compose exec n8n n8n --version' and write that tag in.</t>
  </si>
  <si>
    <t xml:space="preserve">CLOSED 2026-09-02. Pinned to 2.33.5 - the version the n8n_data volume is already migrated to, confirmed with `docker compose exec n8n n8n --version` BEFORE pinning. n8n refuses to start against a database newer than the binary, so pinning to an older tag would have bricked the assistant rather than protected it. Commit 8817cf7 claimed this pin four days ago and it was never in the file - the log said done, the YAML said :latest. Verified after restart: "Version: 2.33.5", both workflows activated.</t>
  </si>
  <si>
    <t xml:space="preserve">2.11</t>
  </si>
  <si>
    <t xml:space="preserve">n8n added to the compose project</t>
  </si>
  <si>
    <t xml:space="preserve">Shares the network with the backend, so Spring reaches it at http://n8n:5678. N8N_ENCRYPTION_KEY generated on-device and pinned in .env.</t>
  </si>
  <si>
    <t xml:space="preserve">Kills the host.docker.internal problem. Pinning the key means saved credentials survive 'compose down -v'.</t>
  </si>
  <si>
    <t xml:space="preserve">2.12</t>
  </si>
  <si>
    <t xml:space="preserve">Recommend workflow - webhook, prompt build, validation, fallback</t>
  </si>
  <si>
    <t xml:space="preserve">n8n/hilotspa-recommend.workflow.json. Validate node drops any serviceId Spring did not send; zero survivors means the protocol table answers.</t>
  </si>
  <si>
    <t xml:space="preserve">VERIFIED LIVE 2026-08-22 against Vertex: 5 services in, 3 ranked out, 2 dropped, no hallucinated ids, no diagnosis in the wording.</t>
  </si>
  <si>
    <t xml:space="preserve">2.13</t>
  </si>
  <si>
    <t xml:space="preserve">Assistant chat workflow - AI Agent, no tools</t>
  </si>
  <si>
    <t xml:space="preserve">n8n/hilotspa-chat.workflow.json. Webhook trigger (not chat trigger) so Spring stays the only door; memory keyed on sessionKey.</t>
  </si>
  <si>
    <t xml:space="preserve">Closed 2026-08-31. Published and answering. A full conversational booking completed end to end after the Vertex credential and .env were repaired in the safe order (credential first, then .env, then rebuild). chat-shape-reply.js gained salvageReply() because the parse-failure path was dumping raw model output into the client's chat.</t>
  </si>
  <si>
    <t xml:space="preserve">2.14</t>
  </si>
  <si>
    <t xml:space="preserve">Wire Vertex AI credentials end to end</t>
  </si>
  <si>
    <t xml:space="preserve">Google Service Account credential + project id in the node URL and in the chat model. Currently returning 401 UNAUTHENTICATED.</t>
  </si>
  <si>
    <t xml:space="preserve">Closed 2026-08-22. Recommend workflow returns status OK, modelUsed gemini-2.5-flash, rejectedCount 0, model-written reasons that reflect the assessment (reranked the list and cited the LIGHT pressure preference).</t>
  </si>
  <si>
    <t xml:space="preserve">2.15</t>
  </si>
  <si>
    <t xml:space="preserve">Adversarial prompt tests for the appendix</t>
  </si>
  <si>
    <t xml:space="preserve">Five messages the assistant must refuse: diagnose, discount below list price, offer a service not on the list, claim a booking, respond to chest pain.</t>
  </si>
  <si>
    <t xml:space="preserve">DONE 2026-08-28 - 5 of 5 pass. P1 refuses to diagnose, P2 refuses a discount, P3 refuses a service not on the menu, P4 refuses another client's booking without revealing whether she exists, P5 sends chest pain to a physician and books nothing. Run through the API so the reply text and status are captured verbatim. THE SUITE FOUND TWO DEFECTS IT WAS NOT LOOKING FOR (B87, B88) - which is a better appendix than five clean passes. Also learned: the first call after an idle period can exceed the 5s n8n timeout and return FALLBACK, so warm the path before any demonstration.</t>
  </si>
  <si>
    <t xml:space="preserve">2.16</t>
  </si>
  <si>
    <t xml:space="preserve">Java side - AssistantService and the allowedServices filter</t>
  </si>
  <si>
    <t xml:space="preserve">Read ServiceProtocol, drop CONTRAINDICATED for this client, POST to n8n, persist the ranked result and rejectedCount.</t>
  </si>
  <si>
    <t xml:space="preserve">VERIFIED LIVE 2026-08-25: submitting an assessment lands on /book?formId= and returns real services from Postgres, ranked by Vertex with model-written reasons. POST /assistant/recommend/{formId} + GET /assistant/catalogue. Java re-validates every id AFTER n8n has - the second check defends against a misconfigured n8n and is the one a panel can read in the code.</t>
  </si>
  <si>
    <t xml:space="preserve">2.17</t>
  </si>
  <si>
    <t xml:space="preserve">Header Auth on both n8n webhooks</t>
  </si>
  <si>
    <t xml:space="preserve">Both webhooks are unauthenticated. Acceptable on a dev laptop, not at the spa.</t>
  </si>
  <si>
    <t xml:space="preserve">Closed 2026-08-31. Header Auth credential on BOTH n8n webhooks, X-HilotSpa-Key on every Spring call, secret generated on-device with the PowerShell RNG (no Python on Windows). VERIFIED: a curl without the header returns 403 from n8n. The startup WARN is gone. One secret was screenshotted during setup and burned; the live value has never been in a transcript.</t>
  </si>
  <si>
    <t xml:space="preserve">2.18</t>
  </si>
  <si>
    <t xml:space="preserve">GET /appointments/availability</t>
  </si>
  <si>
    <t xml:space="preserve">Branch-scoped open slots for the next 7 days: therapist AND room free for the full duration. Returns distinct start times with a Java-rendered label.</t>
  </si>
  <si>
    <t xml:space="preserve">VERIFIED LIVE 2026-08-25 through the assistant. Also now feeds the tappable time chips on C9.</t>
  </si>
  <si>
    <t xml:space="preserve">2.19</t>
  </si>
  <si>
    <t xml:space="preserve">POST /appointments - transactional write</t>
  </si>
  <si>
    <t xml:space="preserve">Re-checks availability inside the transaction, assigns therapist+room, writes source=CHATBOT and the AuditLog row. 409 with fresh slots on conflict.</t>
  </si>
  <si>
    <t xml:space="preserve">VERIFIED LIVE 2026-08-25 - booking 6A6E5CD8 written with source=CHATBOT and an audit row carrying the consenting words. Idempotency and the 409 path are still unscreenshotted (2.28).</t>
  </si>
  <si>
    <t xml:space="preserve">2.20</t>
  </si>
  <si>
    <t xml:space="preserve">Assistant proposes a slot; client confirms</t>
  </si>
  <si>
    <t xml:space="preserve">availableSlots + now + timezone added to the chat payload; agent returns {reply, proposal, alternatives} by slotId; Shape reply drops unknown ids AND the text that referenced them.</t>
  </si>
  <si>
    <t xml:space="preserve">Chat payload carries availableSlots + now + timezone. Prompt rules rewritten twice - agreement wording (rule 9) and time formatting (rules 15-17) added 2026-08-26.</t>
  </si>
  <si>
    <t xml:space="preserve">2.21</t>
  </si>
  <si>
    <t xml:space="preserve">Confirm button + 409 handling in /book</t>
  </si>
  <si>
    <t xml:space="preserve">Renders service, time, duration and price from Spring's values, not the model's text. On 409 shows 'that time was just taken' with the fresh slots.</t>
  </si>
  <si>
    <t xml:space="preserve">Confirmation renders from SPRING's response, never the model's sentence. Superseded in part by 2.30: there IS a confirm affordance now, and it does not go through the model at all.</t>
  </si>
  <si>
    <t xml:space="preserve">0.14</t>
  </si>
  <si>
    <t xml:space="preserve">Customer self-service demographics (B43 + B65/B66/B67)</t>
  </si>
  <si>
    <t xml:space="preserve">POST/GET /demographics/me with identity from the JWT; ProfileStore moved off localStorage onto the server with the cache kept for the sync guards and NFR#1.</t>
  </si>
  <si>
    <t xml:space="preserve">Unblocks the browser-to-Postgres round trip - a CUSTOMER could not previously save their own profile, so profileGuard bounced them before wizard step 1.</t>
  </si>
  <si>
    <t xml:space="preserve">1.16</t>
  </si>
  <si>
    <t xml:space="preserve">Prove one assessment reaches Postgres (ROUNDTRIP.md Part A)</t>
  </si>
  <si>
    <t xml:space="preserve">Register -&gt; profile -&gt; 5-step wizard -&gt; submit -&gt; psql. Verify intent, one patient_intake row per marked spot, side LEFT/RIGHT vs CENTRE, pain_score_after NULL, occupation, and that users_id is the account that logged in.</t>
  </si>
  <si>
    <t xml:space="preserve">Proven 2026-08-25 - an assessment reached Postgres and came back out through the assistant. Still to do: run verify.sql and screenshot it for Ch.IV.</t>
  </si>
  <si>
    <t xml:space="preserve">2.22</t>
  </si>
  <si>
    <t xml:space="preserve">AuditLogController (read-only, ADMIN)</t>
  </si>
  <si>
    <t xml:space="preserve">GET /api/v1/audit-log with branch and date filters. Repository already exists; there is no controller.</t>
  </si>
  <si>
    <t xml:space="preserve">GET /api/v1/audit-log, STAFF/ADMIN, branch-scoped from the JWT. Read-only BY CONSTRUCTION - no write route and no delete route exist, which is a claim a panel can verify by looking for the missing endpoints.</t>
  </si>
  <si>
    <t xml:space="preserve">2.23</t>
  </si>
  <si>
    <t xml:space="preserve">TherapistController + RoomController</t>
  </si>
  <si>
    <t xml:space="preserve">CRUD plus status changes, branch-scoped from the JWT. Entities and repositories exist; no controllers.</t>
  </si>
  <si>
    <t xml:space="preserve">ResourceController: GET/POST/PUT /therapists and /rooms, branch taken from the token and never from the body.</t>
  </si>
  <si>
    <t xml:space="preserve">2.24</t>
  </si>
  <si>
    <t xml:space="preserve">Wire the 5 admin screens off demo.ts</t>
  </si>
  <si>
    <t xml:space="preserve">A1 overview, A2 branches, A3 accounts, A4 config, A5 audit -&gt; BranchController, UserController, MassageController, AuditLogController.</t>
  </si>
  <si>
    <t xml:space="preserve">All five wired 2026-08-26. A1 now counts live from the DB via GET /admin/overview; A4 reads and writes the real service_protocol table and refuses a rule change with no name against it; A5 reads real audit rows.</t>
  </si>
  <si>
    <t xml:space="preserve">2.25</t>
  </si>
  <si>
    <t xml:space="preserve">Wire C8 Services and C9 service detail off demo.ts</t>
  </si>
  <si>
    <t xml:space="preserve">GET /api/v1/massages, plus the ServiceProtocol notes for 'what this is not advised with'.</t>
  </si>
  <si>
    <t xml:space="preserve">C8 and the detail page read GET /assistant/catalogue, judged against the client's own latest assessment.</t>
  </si>
  <si>
    <t xml:space="preserve">3.13</t>
  </si>
  <si>
    <t xml:space="preserve">Wire the 5 staff screens off demo.ts</t>
  </si>
  <si>
    <t xml:space="preserve">S1 dashboard, S2 queue, S3 resources, S4 report, S5 walk-in.</t>
  </si>
  <si>
    <t xml:space="preserve">2026-09-01: all five are off demo.ts. S2 is real; only walk-in arrival ORDER is unbuilt (B86).</t>
  </si>
  <si>
    <t xml:space="preserve">2.26</t>
  </si>
  <si>
    <t xml:space="preserve">Send enum displayName in the n8n payload</t>
  </si>
  <si>
    <t xml:space="preserve">ComplaintType and AnatomicalRegion carry displayName. The prompt currently reads FROZEN_SHOULDER and CERVICAL; flags read 'hypertension' instead of 'high blood pressure'.</t>
  </si>
  <si>
    <t xml:space="preserve">Done inside AssistantService: painPoints and chiefComplaint are sent as displayName, so the prompt reads 'Frozen Shoulder', not FROZEN_SHOULDER.</t>
  </si>
  <si>
    <t xml:space="preserve">0.15</t>
  </si>
  <si>
    <t xml:space="preserve">n8n housekeeping</t>
  </si>
  <si>
    <t xml:space="preserve">Chat model Maximum Number of Tokens -&gt; 2048 (still 400, still truncates); pin the n8n image version in compose.yaml; back up the n8n_data volume.</t>
  </si>
  <si>
    <t xml:space="preserve">Closed 2026-08-31. n8n_data volume backed up to n8n_data.tgz with the tar-in-alpine command from n8n/SETUP.md, BEFORE the credential work - which is the order that matters, because the Vertex credential is encrypted per instance and is the one artefact git cannot rebuild.</t>
  </si>
  <si>
    <t xml:space="preserve">2.27</t>
  </si>
  <si>
    <t xml:space="preserve">Assistant chat relay (part of 2.20)</t>
  </si>
  <si>
    <t xml:space="preserve">POST /api/v1/assistant/chat/{formId} relays to the n8n chat workflow, session keyed on form-{id} so clients never share a memory window. Only ServiceProtocol-approved services reach the agent.</t>
  </si>
  <si>
    <t xml:space="preserve">VERIFIED LIVE 2026-08-25: the assistant answered 'I want swedish' with the real price (PHP 550) and duration read from Postgres via allowedServices. It did not invent a price.</t>
  </si>
  <si>
    <t xml:space="preserve">2.28</t>
  </si>
  <si>
    <t xml:space="preserve">Verify the booking flow end to end</t>
  </si>
  <si>
    <t xml:space="preserve">Availability returns real slots; booking writes an appointment with source=CHATBOT; the same request twice yields ONE appointment; a taken slot returns 409 with alternatives; the agent refuses to book a slotId that is not on the list.</t>
  </si>
  <si>
    <t xml:space="preserve">2026-09-01: more of it is now verifiable - therapist/room choice returns honest 409s, cancel and close-off write real statuses, and the outcome loop can be walked from booking to after-score. Still unrun as one continuous scripted sequence with screenshots, which is the whole point of the task. This is the highest-value hour left before the demo. | 2026-09-02: prompt rules 7b and 7c VERIFIED LIVE from the client screen - the assistant says a time is "na-hold" instead of "booked", and answers "sino ang therapist ko" with yes-you-may-choose instead of sending the client to the front desk. The same walk-through exposed B115: the conversational path never books at all.</t>
  </si>
  <si>
    <t xml:space="preserve">2.29</t>
  </si>
  <si>
    <t xml:space="preserve">Replace the invented service catalogue with the spa's real one</t>
  </si>
  <si>
    <t xml:space="preserve">10 services from 137 records (Signature Massage, Bone Setting, Therapeutic, Ventosa, Hotstone, Suob, Head Spa, Basic) with observed durations. 12 INDICATED protocols derived, each carrying its record count as its rationale.</t>
  </si>
  <si>
    <t xml:space="preserve">Every recommendation before this was for a service the spa does not sell. Prices are 0.00 - the records do not contain them and a guessed price is a false statement made to a client, so the seeder WARNs on every boot.</t>
  </si>
  <si>
    <t xml:space="preserve">4.12</t>
  </si>
  <si>
    <t xml:space="preserve">Transcribe the spa's rate card</t>
  </si>
  <si>
    <t xml:space="preserve">10 services currently seed at PHP 0.00. The assistant quotes price to clients, so this blocks any real UAT.</t>
  </si>
  <si>
    <t xml:space="preserve">STARTED - 2 of 10 treatments now priced (Signature Massage 60 at PHP 500), entered through the new A4 Service menu tab rather than the seeder. 8 still unpriced; the assistant correctly says the price is not on file for those. CRITICAL PATH until all ten are in.</t>
  </si>
  <si>
    <t xml:space="preserve">4.13</t>
  </si>
  <si>
    <t xml:space="preserve">Practitioner authors the CONTRAINDICATED rules</t>
  </si>
  <si>
    <t xml:space="preserve">Archived records show what was GIVEN, never what was WITHHELD, so no contraindication can be derived from them. The three placeholder rows have been deleted.</t>
  </si>
  <si>
    <t xml:space="preserve">CRITICAL PATH and the whole SS D3 safety claim. Until these exist the filter excludes nothing (10 of 10 allowed). Deleting the invented ones is defensible; keeping them was not.</t>
  </si>
  <si>
    <t xml:space="preserve">1.17</t>
  </si>
  <si>
    <t xml:space="preserve">Use an existing pre-assessment</t>
  </si>
  <si>
    <t xml:space="preserve">A returning client with a recent assessment can reuse it instead of re-marking the body map. POST /forms/{id}/reuse.</t>
  </si>
  <si>
    <t xml:space="preserve">Built 2026-08-30. MANUAL STEP, AND THE ORDER MATTERS: boot the rebuilt backend FIRST so ddl-auto=update adds the nullable walk_in_name column, THEN run backend/db/2026-08-30-b85-walkin-assessment.sql, which does the two things Hibernate will not - drop an existing NOT NULL and add a check constraint to a populated table. Running it first fails on 'column walk_in_name does not exist' (harmless, but you must re-run). The script is now idempotent and creates the column itself, so either order works. Same trap as B66/B77 and the clearest argument yet for 0.7/Flyway, where the ordering would not be a thing anyone has to remember.</t>
  </si>
  <si>
    <t xml:space="preserve">2.30</t>
  </si>
  <si>
    <t xml:space="preserve">Tap-to-book confirm path (POST /assistant/confirm/{formId})</t>
  </si>
  <si>
    <t xml:space="preserve">Every open time is returned to the browser in ChatResponse.slots and rendered as tappable chips grouped by day. Tapping revalidates the slotId against freshly recomputed availability and books it.</t>
  </si>
  <si>
    <t xml:space="preserve">THE MODEL IS NOT ON THIS PATH. Found because "yes please" failed where "I confirm" worked (B79). Even reading the intent correctly, the old flow needed the model to copy a long serviceId@timestamp back without a typo. Same validation, same transaction, same audit row - no language model in the middle. The conversational path still works and is still what the paper describes; it is simply no longer load-bearing.</t>
  </si>
  <si>
    <t xml:space="preserve">2.31</t>
  </si>
  <si>
    <t xml:space="preserve">My Bookings lists every appointment</t>
  </si>
  <si>
    <t xml:space="preserve">C10 shows the next visit, an "Also booked" list, and a past-visits table. Home reads the real next visit from GET /appointments/mine.</t>
  </si>
  <si>
    <t xml:space="preserve">Was showing only the soonest (B78). The assistant answered "you have two" while the page showed one - the screen disagreeing with the database, same family as B69.</t>
  </si>
  <si>
    <t xml:space="preserve">2.32</t>
  </si>
  <si>
    <t xml:space="preserve">Cancel a booking (DELETE /appointments/{id})</t>
  </si>
  <si>
    <t xml:space="preserve">No cancel endpoint exists. The home card now says plainly that hiding is not cancelling and to call the branch.</t>
  </si>
  <si>
    <t xml:space="preserve">Built 2026-08-30. DELETE /api/v1/appointments/{id}. Status set to CANCELLED, row NEVER deleted - a delete would take the audit trail and priceAtBooking with it, and CANCELLED is not in BLOCKING so the therapist and room are released anyway. Customer cancels their own and only before it starts; staff cancel anything at their branch including a visit under way, because a client leaving halfway is real. Idempotent on a double tap. APPOINTMENT_CANCELLED audit row records who cancelled and why. Two-tap confirm in the UI on both Home and My Bookings - no blocking confirm() dialog. 5 new integration tests.</t>
  </si>
  <si>
    <t xml:space="preserve">2.33</t>
  </si>
  <si>
    <t xml:space="preserve">Walk-in booking - the schema decision (B77)</t>
  </si>
  <si>
    <t xml:space="preserve">Appointment.customer is nullable=false and points at User, so an appointment cannot exist without an account. A walk-in has none.</t>
  </si>
  <si>
    <t xml:space="preserve">CLOSED 2026-08-26. Appointment.customer is nullable; walkInName/walkInContact identify the visit; a @Check constraint requires one of the two, so a nameless appointment cannot be written by any path including psql. POST /appointments/walk-in, STAFF/ADMIN, branch from the token. NO User row is invented at the counter - an account that cannot log in is a false entry in the accounts screen. Same assign() and same transaction as the online path, so the counter and the chatbot cannot award the same therapist. REQUIRES A VOLUME DROP: ddl-auto=update does not drop NOT NULL (the B66 lesson). VERIFIED by DoubleBookingTest 2026-08-26: the counter is refused once the assistant has taken every free therapist at that minute.</t>
  </si>
  <si>
    <t xml:space="preserve">3.14</t>
  </si>
  <si>
    <t xml:space="preserve">Staff record AFTER-session pain scores (SS H3)</t>
  </si>
  <si>
    <t xml:space="preserve">PUT /patient-intake/{id}/after, STAFF/ADMIN only. S4 renders the client's own marks with a per-point AFTER selector and the BEFORE-AFTER drop.</t>
  </si>
  <si>
    <t xml:space="preserve">There is deliberately NO client-facing route to write an outcome onto one's own record - a self-reported improvement is not the measure the paper claims. Saved one point at a time, because a single save-all button is how half a sheet is lost when the front desk phone rings. Writes OUTCOME_RECORDED.</t>
  </si>
  <si>
    <t xml:space="preserve">3.15</t>
  </si>
  <si>
    <t xml:space="preserve">Agree the Sprint 3 defence position with the adviser</t>
  </si>
  <si>
    <t xml:space="preserve">Sprint 3 runtime (sync log, node registry, gossip, second node) is at 0% and will not ship before approval. Decide what is claimed instead.</t>
  </si>
  <si>
    <t xml:space="preserve">The defensible claim is already true and already enforced in the schema: a therapist and a room belong to exactly one branch, therefore only that branch can book them, therefore two nodes can never award the same slot - no consensus algorithm is required. Frame decentralisation as a proven design property with the multi-node runtime as future work. A mocked second node is worse than none. HUMAN RESPONSE TIME - ask this week.</t>
  </si>
  <si>
    <t xml:space="preserve">0.26</t>
  </si>
  <si>
    <t xml:space="preserve">Integration tests for the three claims a panel will probe</t>
  </si>
  <si>
    <t xml:space="preserve">BranchScopingTest, ContraindicationFilterTest, DoubleBookingTest, plus a shared TestSupport. Real login, real JWT, real Postgres, rolled back per test.</t>
  </si>
  <si>
    <t xml:space="preserve">VERIFIED GREEN 2026-08-26 11:11 - 23 tests, 0 failures, 0 errors, 0 SKIPPED, across 4 classes (BranchScoping 7, ContraindicationFilter 7, DoubleBooking 7, FormsAccessControl 2). Counts read from target/surefire-reports, not from "BUILD SUCCESS" - a green build with zero tests executed is the same false green as B57. Run with .\test.ps1 (NOT inside the backend container: the runtime image is a JRE holding only app.jar, with no source and no Maven). Keep the surefire reports - they are Ch.IV evidence for the Technical and Operational Checklist (task 4.4). RENUMBERED 2026-09-03: was 0.16, which a second task also carried. The n8n workflow re-export keeps 0.16 because every doc reference points there; this finished row moved instead.</t>
  </si>
  <si>
    <t xml:space="preserve">0.17</t>
  </si>
  <si>
    <t xml:space="preserve">Operational health endpoint</t>
  </si>
  <si>
    <t xml:space="preserve">GET /api/v1/admin/health - seven checks (database, therapists+rooms, n8n, assistant, protocol, prices, webhook auth). 503 when DOWN so a monitor need not parse the body. Rendered at the top of A1.</t>
  </si>
  <si>
    <t xml:space="preserve">Built because this system degrades QUIETLY by design: when Vertex or n8n dies the client still gets a sensible answer from the protocol table and nothing on screen says otherwise - which is exactly how a second developer lost a morning on 2026-08-28. The assistant check reads the last 10 ASSISTANT_RECOMMEND rows out of audit_log and reports whether any reached the model. VERIFIED LIVE: returned DEGRADED with four true findings on first call. Doubles as evidence for task 4.4 and answers R6.</t>
  </si>
  <si>
    <t xml:space="preserve">0.18</t>
  </si>
  <si>
    <t xml:space="preserve">GitHub Actions - run the tests on push</t>
  </si>
  <si>
    <t xml:space="preserve">Build the backend and run the 23 integration tests on every push. Needs a Postgres service container.</t>
  </si>
  <si>
    <t xml:space="preserve">Built 2026-08-30. .github/workflows/backend-tests.yml - Postgres 15 service container with a health check, JDK 17 temurin, maven cache, chmod +x on mvnw (the repo is checked out from Windows, which does not carry the executable bit), surefire reports uploaded on failure so the failing TEST is named rather than just BUILD FAILURE. Runs on push, PR and manual dispatch. Needs Liodoq to commit and push.</t>
  </si>
  <si>
    <t xml:space="preserve">2.34</t>
  </si>
  <si>
    <t xml:space="preserve">Slot coverage across the whole booking window</t>
  </si>
  <si>
    <t xml:space="preserve">spread() offers the earliest time on EVERY open day before any day gets a second, plus a middle-of-day time; the focused service is sent at FULL calendar resolution so a specific hour can be answered truthfully. B89 + B91.</t>
  </si>
  <si>
    <t xml:space="preserve">Built 2026-08-30. Serves the Scope bullet "Analyzing available time, dates, and resources" - which the old first-8-chronological rule did not.</t>
  </si>
  <si>
    <t xml:space="preserve">2.35</t>
  </si>
  <si>
    <t xml:space="preserve">Reuse an earlier assessment from /book itself</t>
  </si>
  <si>
    <t xml:space="preserve">Reaching /book with no formId was a dead end reachable from Home. It now loads history and offers the 60-day reuse copy in place. B90.</t>
  </si>
  <si>
    <t xml:space="preserve">Built 2026-08-30.</t>
  </si>
  <si>
    <t xml:space="preserve">2.36</t>
  </si>
  <si>
    <t xml:space="preserve">Rule 4 - no overlap with the CUSTOMER'S OWN bookings</t>
  </si>
  <si>
    <t xml:space="preserve">book() only guards against an identical repeat (same service, same minute). Nothing stops one client holding a 9:00 Signature and a 9:00 Ventosa - different therapist, different room, one person in two places.</t>
  </si>
  <si>
    <t xml:space="preserve">Built 2026-08-30. Rule 4 - a client cannot be in two rooms at once. The spa's three stated rules are all about the SPA's resources; none of them looks at the client, and the idempotency guard only caught an identical repeat, so one person could hold a 9:00 Signature and a 9:00 Ventosa with every rule satisfied. The 409 carries its own reason now instead of being flattened into 'that time was just taken', on both the REST and the chat paths - the slot going to someone else and the client being busy need different things done about them. 2 tests: one asserts the MESSAGE, because Bulan has a spare pair at that minute so a bare 409 could equally mean exhaustion; the other proves the rule blocks the CLIENT, not the slot.</t>
  </si>
  <si>
    <t xml:space="preserve">2.37</t>
  </si>
  <si>
    <t xml:space="preserve">Database-level exclusion constraint on overlapping appointments</t>
  </si>
  <si>
    <t xml:space="preserve">EXCLUDE USING gist (therapist_id WITH =, tsrange(start_time,end_time) WITH &amp;&amp;) WHERE status IN (PENDING,CONFIRMED,IN_PROGRESS), plus the same for room_id. Needs btree_gist.</t>
  </si>
  <si>
    <t xml:space="preserve">Built 2026-08-30 as Flyway migration V2. EXCLUDE USING gist on (therapist_id, tsrange(start_time,end_time)) and the same for room_id, partial on PENDING/CONFIRMED/IN_PROGRESS so cancelled rows release the hour, half-open ranges matching the application's own rule. assign() cannot be atomic against a concurrent transaction under READ COMMITTED - two requests milliseconds apart can both pass the check and both insert, and every test we have runs sequentially so none could catch it. writeOrConflict() uses saveAndFlush and translates the database's veto into a 409 rather than a 500, because JPA is free to defer the INSERT to commit where the catch block is out of scope. This also turns single-writer-per-partition from a claim in the paper into a constraint a panelist can read: a therapist belongs to one branch, so one node writes them, so a LOCAL constraint is sufficient and no consensus is required.</t>
  </si>
  <si>
    <t xml:space="preserve">2.38</t>
  </si>
  <si>
    <t xml:space="preserve">Decide whether TherapistStatus is honoured or dropped</t>
  </si>
  <si>
    <t xml:space="preserve">AVAILABLE / BUSY / ON_BREAK / OFF_DUTY is set on the staff screen and counted on the admin overview, but availability filters on active only - an OFF_DUTY therapist is still bookable.</t>
  </si>
  <si>
    <t xml:space="preserve">Closed 2026-08-31. TherapistStatus is honoured in freeTherapists() and only for TODAY - a therapist marked ON_LEAVE this afternoon must not vanish from next month's calendar, because the status is a live front-desk fact, not a roster. Was decorative for three sprints; 2.43's test would now fail if it went back to being decorative.</t>
  </si>
  <si>
    <t xml:space="preserve">2.39</t>
  </si>
  <si>
    <t xml:space="preserve">Session report shows the visit, not just the form (B92)</t>
  </si>
  <si>
    <t xml:space="preserve">AppointmentRepository.findByFormId / findByFormIdIn, FormsModel.Visit, one batched query for a history page, toLog() reads it.</t>
  </si>
  <si>
    <t xml:space="preserve">Built 2026-08-30. The Chapter IV outcome surface: a before/after pain score can now name the treatment, practitioner and room that produced it.</t>
  </si>
  <si>
    <t xml:space="preserve">1.15</t>
  </si>
  <si>
    <t xml:space="preserve">Walk-in pre-assessment (B85)</t>
  </si>
  <si>
    <t xml:space="preserve">Forms.user nullable + walkInName + forms_has_a_client check constraint; staff create path; WalkInRequest.formId joins the counter assessment to the visit.</t>
  </si>
  <si>
    <t xml:space="preserve">Built 2026-08-30. MANUAL STEP, AND THE ORDER MATTERS: boot the rebuilt backend FIRST so ddl-auto=update adds the nullable walk_in_name column, THEN run backend/db/2026-08-30-b85-walkin-assessment.sql, which does the two things Hibernate will not - drop an existing NOT NULL and add a check constraint to a populated table. Running it first fails on 'column walk_in_name does not exist' (harmless, but you must re-run). The script is now idempotent and creates the column itself, so either order works. Same trap as B66/B77 and the clearest argument yet for 0.7/Flyway, where the ordering would not be a thing anyone has to remember. RENUMBERED 2026-09-03: was 1.17, shared with "Use an existing pre-assessment". Both were Done, so nothing was miscounted - but two rows with one ID makes any later reference ambiguous.</t>
  </si>
  <si>
    <t xml:space="preserve">1.18</t>
  </si>
  <si>
    <t xml:space="preserve">Honest loading and error states</t>
  </si>
  <si>
    <t xml:space="preserve">Home and the session report gated on loaded(), plus BookingStore.unreachable so an empty list can say WHY it is empty.</t>
  </si>
  <si>
    <t xml:space="preserve">Built 2026-08-30. /report/:id said "We could not find that session. It may belong to another account." for as long as the history took to arrive - a false and alarming statement a panelist triggers with F5. Home said "No upcoming visit" to a client who had one. Both signals existed; neither screen used them. The report now also loads the store itself rather than depending on whichever screen happened to fill it.</t>
  </si>
  <si>
    <t xml:space="preserve">1.19</t>
  </si>
  <si>
    <t xml:space="preserve">Printable session record</t>
  </si>
  <si>
    <t xml:space="preserve">@media print on /report/:id plus a Print or save as PDF button. window.print(), no library, no server round trip, works offline.</t>
  </si>
  <si>
    <t xml:space="preserve">Built 2026-08-30. Print-only masthead so the sheet is not anonymous in a folder; controls removed rather than hidden; one column; cards never split across a page break; print-color-adjust forced because the pain scores ARE the colour and a grey 8 beside a grey 3 loses the page. The spa keeps paper, and it gives you a physical artefact to hand a panelist.</t>
  </si>
  <si>
    <t xml:space="preserve">1.20</t>
  </si>
  <si>
    <t xml:space="preserve">H9 / B44 - safety checklist and pressure as real data</t>
  </si>
  <si>
    <t xml:space="preserve">SafetyFlag enum (10 constants, displayName verbatim from the form), PressurePreference enum, forms_safety_flag element collection, both carried through the transformer, the reuse copy, and the assistant payload.</t>
  </si>
  <si>
    <t xml:space="preserve">Built 2026-08-30. No manual SQL needed - ddl-auto=update creates a new table and adds a nullable column happily. The assistant used to be told only noted_on_record:true because a claim parsed out of prose is a guess, and guessing about pregnancy is not something this system should do; it now receives the flags the client actually ticked. pressurePreference was hardcoded null in the prompt and is now real. Flags deliberately do NOT filter the service list - that stays with the practitioner-signed ServiceProtocol table until she authors a rule (4.13). Review screen and session report read the enum back in the client wording. 1 new round-trip test.</t>
  </si>
  <si>
    <t xml:space="preserve">0.19</t>
  </si>
  <si>
    <t xml:space="preserve">Flyway migration discipline documented</t>
  </si>
  <si>
    <t xml:space="preserve">db/migration/README.md - never edit an applied migration, one concern per file, every entity change ships its migration in the same commit, migrations must be safe on a populated database.</t>
  </si>
  <si>
    <t xml:space="preserve">Written 2026-08-30 alongside 0.7. The rules exist because ddl-auto=validate now fails the boot when an entity and the migrations disagree - which is the point, but only helps if the next person knows why.</t>
  </si>
  <si>
    <t xml:space="preserve">0.20</t>
  </si>
  <si>
    <t xml:space="preserve">Pre-deployment security checklist</t>
  </si>
  <si>
    <t xml:space="preserve">SPRING_PROFILES_ACTIVE off dev (DevDataSeeder is @Profile("dev") - leaving it on puts admin@hilotspa.test / hilotspa123 live); regenerate JWT_SECRET (went through a chat transcript); change the DB password (admin1234 is in git history); finish 2.17 and never expose 5678.</t>
  </si>
  <si>
    <t xml:space="preserve">BLOCKS any public URL. About an hour together. The profile one is the dangerous one - it is a live administrator account on a system holding client health records.</t>
  </si>
  <si>
    <t xml:space="preserve">0.21</t>
  </si>
  <si>
    <t xml:space="preserve">Single origin - serve the Angular build from Spring Boot</t>
  </si>
  <si>
    <t xml:space="preserve">ng build -&gt; src/main/resources/static/, and make API_BASE relative (/api/v1) instead of the hardcoded http://localhost:8080. One domain, one certificate, no CORS, no mixed content.</t>
  </si>
  <si>
    <t xml:space="preserve">~30 min and it is the prerequisite for every hosting route. Also removes a whole class of defence-day failure: one thing to start instead of two.</t>
  </si>
  <si>
    <t xml:space="preserve">0.22</t>
  </si>
  <si>
    <t xml:space="preserve">Reverse proxy + TLS (compose.prod.yaml)</t>
  </si>
  <si>
    <t xml:space="preserve">Caddy in front of the backend for automatic Let's Encrypt. Ports 80/443 only; 8080, 5432 and 5678 stay on the compose network.</t>
  </si>
  <si>
    <t xml:space="preserve">Needed for a real URL by either route.</t>
  </si>
  <si>
    <t xml:space="preserve">0.23</t>
  </si>
  <si>
    <t xml:space="preserve">Decide the hosting route and stand it up</t>
  </si>
  <si>
    <t xml:space="preserve">Route A: Cloudflare Tunnel, node stays local - matches the paper's "localized storage at each branch". Route B: AWS EC2 t3.small (NOT micro - Postgres + JVM + n8n will OOM in 1GB), 30GB gp3, 2GB swap, ap-southeast-1, Elastic IP, SG open on 22/80/443 only, CloudWatch billing alarm.</t>
  </si>
  <si>
    <t xml:space="preserve">The panel has asked for a real URL. NOTE: AWS changed the free tier - accounts after 15 Jul 2025 get $100 credits for 12 months, not 750 free hours, and a Free Plan account auto-closes when they run out.</t>
  </si>
  <si>
    <t xml:space="preserve">0.24</t>
  </si>
  <si>
    <t xml:space="preserve">Log the hosting deviation in paper-deltas</t>
  </si>
  <si>
    <t xml:space="preserve">If the node runs on a rented host it is no longer "localized at each branch". One paragraph: for evaluation, one node ran hosted so the panel and testers could reach it; the node software is identical either way.</t>
  </si>
  <si>
    <t xml:space="preserve">Only needed for route B. Route A keeps the claim literally true, which is the strongest argument for it. | 2026-09-12: no longer hypothetical. The system is DEPLOYED as a single cloud instance in Singapore, which a panelist can see from the URL. Frame it first: the cloud instance is the EVALUATION ENVIRONMENT, chosen so respondents and panelists can reach the system from their own devices; the branch-node design is demonstrated as a schema-enforced property (write authority partitioned by physical resource ownership), with one-node-per-branch described but not deployed within the study period.</t>
  </si>
  <si>
    <t xml:space="preserve">2.40</t>
  </si>
  <si>
    <t xml:space="preserve">Service photos keyed by a stable slug, not the service UUID</t>
  </si>
  <si>
    <t xml:space="preserve">services.html and service-detail.html point at /services/{serviceId}.jpg. Service ids are regenerated on every reseed, so real photos would break and the filenames are unreadable. Add a slug/imageUrl on Massage, editable in the A6 config screen.</t>
  </si>
  <si>
    <t xml:space="preserve">Built 2026-08-31. Massage.imageName holds a FILENAME set from the A6 service menu (with a live preview in the drawer), never the service id - ids are regenerated on every reseed, so real photographs would have broken and the files would have had unreadable names. Carried on both the public and the authenticated catalogue DTOs. Missing photo = tinted block, never a broken image. Seeder sets sensible defaults and public/services/README.md is the naming list for Liodoq's partner.</t>
  </si>
  <si>
    <t xml:space="preserve">2.41</t>
  </si>
  <si>
    <t xml:space="preserve">Public landing page and browsable menu</t>
  </si>
  <si>
    <t xml:space="preserve">Landing at / (hero, live menu from the same Massage table, how-a-visit-works, find-us), public /contact, and /services + /services/:id + /about no longer behind authGuard.</t>
  </si>
  <si>
    <t xml:space="preserve">Built 2026-08-31. Everything used to sit behind a guard and / redirected to login, so the first thing anyone met - client, adviser, panelist opening the URL - was a password box. Browsing is public now; BOOKING is not, and Process Rule #2 is untouched. The menu comes from the same table the assistant works from, so the public page cannot drift from what the spa actually sells.</t>
  </si>
  <si>
    <t xml:space="preserve">2.42</t>
  </si>
  <si>
    <t xml:space="preserve">Public read endpoint - GET /api/v1/public/**</t>
  </si>
  <si>
    <t xml:space="preserve">PublicController: the spa's own details (config-driven, so SS A3 is one line to change) and its live menu. Withdrawn treatments filtered out. GET-only permitAll; a POST falls through to authenticated().</t>
  </si>
  <si>
    <t xml:space="preserve">The ONLY unauthenticated read in the system, and a separate DTO on purpose: the logged-in catalogue carries contraindication verdicts, which are a judgement about a named client and must never be computed for a stranger. No protocol rules, no availability, no therapists, no counts. Nothing here takes a parameter, so nothing here can be made to answer a question about a particular person. CatalogueStore.anonymous distinguishes the three states so a visitor is never told 'no exclusions apply to your assessment' - a claim about a judgement that was never made.</t>
  </si>
  <si>
    <t xml:space="preserve">4.14</t>
  </si>
  <si>
    <t xml:space="preserve">Spa contact details for the public site</t>
  </si>
  <si>
    <t xml:space="preserve">SPA_PHONE, SPA_FACEBOOK, SPA_MAPS_URL, SPA_ADDRESS, SPA_HOURS in .env. The landing and contact pages hide any field left blank rather than showing an empty label.</t>
  </si>
  <si>
    <t xml:space="preserve">Needs the real numbers from the spa. Contact is details-only by design - there is no mail path, and a form that silently files a message nobody reads is worse than no form because the client believes they have made contact and waits.</t>
  </si>
  <si>
    <t xml:space="preserve">2.43</t>
  </si>
  <si>
    <t xml:space="preserve">Therapist preference - a client may ask for a woman or a man</t>
  </si>
  <si>
    <t xml:space="preserve">Sex enum on Therapist; Forms.therapistPreference (null = no preference); enforced in availability AND at assignment; refusal message distinguishes "no female therapist is free then" from "that time was just taken". Migration V4.</t>
  </si>
  <si>
    <t xml:space="preserve">Built 2026-08-31 at Liodoq's request. Hilot is close, hands-on work and in this province this is a matter of dignity, not taste - a client who cannot say who they are comfortable with does not come back. Deliberately NO 'ANY' enum value: null means no preference, which keeps 'never asked' distinguishable from 'said it does not matter'. A therapist whose sex is not recorded matches NO preference - guessing is the one failure this feature exists to prevent. 2 tests, one of which compares two identical assessments differing only in preference and fails if availability is unchanged - i.e. it fails if the feature is decorative, which is exactly the state TherapistStatus was in an hour earlier. CAPACITY NOTE: Bulan seeds one woman and one man, so asking for a woman roughly halves availability. Honest, and worth seeing before the demo.</t>
  </si>
  <si>
    <t xml:space="preserve">2.44</t>
  </si>
  <si>
    <t xml:space="preserve">Meet the team on the public site</t>
  </si>
  <si>
    <t xml:space="preserve">PublicTherapist: first name and sex only. No surname, no photograph, no schedule, and no id - an id would let a stranger probe one named person's availability. Active staff only.</t>
  </si>
  <si>
    <t xml:space="preserve">Built 2026-08-31. Shown so a client can see that both women and men are on the team BEFORE being asked to state a preference. Photos were considered and deliberately not built: a staff member's face on a public URL needs their written consent, which is a conversation the spa has to have, not a design decision.</t>
  </si>
  <si>
    <t xml:space="preserve">4.15</t>
  </si>
  <si>
    <t xml:space="preserve">Log the therapist-preference feature in paper-deltas</t>
  </si>
  <si>
    <t xml:space="preserve">The Scope mentions analysing "resources" but says nothing about therapist sex or client preference. An addition, not a contradiction - but it needs a paragraph before a panelist asks where it came from.</t>
  </si>
  <si>
    <t xml:space="preserve">Also worth a sentence on WHY: it is a dignity and comfort requirement in a conservative province, and it demonstrably narrows availability rather than being cosmetic, which makes it defensible as a real constraint on the scheduling problem rather than a UI flourish.</t>
  </si>
  <si>
    <t xml:space="preserve">1.21</t>
  </si>
  <si>
    <t xml:space="preserve">Public site for people without an account</t>
  </si>
  <si>
    <t xml:space="preserve">Landing, services, contact and about rebuilt for a stranger. Landing hero is the live body map; about is a glossary of the Tagalog and Spanish words on our own menu; contact is hours/where/how with an honest empty state while 4.14 is outstanding.</t>
  </si>
  <si>
    <t xml:space="preserve">Built 2026-09-01. A client who cannot name Ventosa will not book Ventosa, and asking at the counter costs them something - the glossary is the page's whole job. Deliberately says 'our own bone setter' and never a name, because B76 is unresolved. No photographs: none exist, and eight empty frames read worse than a typeset menu.</t>
  </si>
  <si>
    <t xml:space="preserve">1.22</t>
  </si>
  <si>
    <t xml:space="preserve">Link system, and the /account + /profile rebuild</t>
  </si>
  <si>
    <t xml:space="preserve">.link (hairline underline), .link-go (arrow, no underline), .link-act (quiet button) across 52 call sites. /account and /profile share one .me surface: stored values render as TEXT, and editing reuses the same grid.</t>
  </si>
  <si>
    <t xml:space="preserve">Built 2026-09-01. The substantive fix is not cosmetic: both pages rendered stored values as DISABLED INPUTS, and .panel.locked then set opacity:1, removing the only cue that they were not editable - a page that looked like a form you were not allowed to use. /account now shows the health details instead of a card explaining that they live somewhere else. See B97.</t>
  </si>
  <si>
    <t xml:space="preserve">2.45</t>
  </si>
  <si>
    <t xml:space="preserve">Client chooses a therapist and a room after the date and time</t>
  </si>
  <si>
    <t xml:space="preserve">Openings carries free therapists (first name + sex) and free rooms for a settled start time. BookRequest and the assistant ConfirmRequest both carry therapistId/roomId. Nothing is held - a choice that has just gone returns a 409 that says so.</t>
  </si>
  <si>
    <t xml:space="preserve">Built 2026-08-31 at Liodoq's request: therapist and room were being assigned silently and could not be changed. 'Any available' stays the first option. freeTherapists() and freeRooms() were extracted and are used by BOTH openings() and assign(), so 'free' has exactly one definition - the bug class where a picker offers what the booker then refuses. Rule 7c stops the assistant sending a client to the front desk to choose, because now they can choose in the chat. Needs 4.15 written.</t>
  </si>
  <si>
    <t xml:space="preserve">2.46</t>
  </si>
  <si>
    <t xml:space="preserve">The outcome loop - staff close-off and the client's after-score</t>
  </si>
  <si>
    <t xml:space="preserve">Staff mark a visit Completed or No show from the day sheet. A completed visit invites the client to re-score each pain point, writing painScoreAfter. Past sessions on Home means completed visits only.</t>
  </si>
  <si>
    <t xml:space="preserve">Built 2026-08-31. THIS IS THE CHAPTER IV EVIDENCE. COMPLETED and NO_SHOW had existed on AppointmentStatus since Sprint 0 and NOTHING had ever set either, so painScoreAfter had never been collected once - the paper's outcome claim had zero rows behind it. A no-show is kept as a no-show: counting it as a visit would put a session that never happened into the spa's own figures. The mechanism is now complete; what it still lacks is real visits closed off by real staff. See R20.</t>
  </si>
  <si>
    <t xml:space="preserve">3.16</t>
  </si>
  <si>
    <t xml:space="preserve">Therapist and room management from S4</t>
  </si>
  <si>
    <t xml:space="preserve">Add, rename and remove therapists and rooms. Delete refuses while any appointment references the row, and writes an audit entry before it acts. Add and the row menu are both dropdowns.</t>
  </si>
  <si>
    <t xml:space="preserve">Built 2026-09-01. Refusing the delete is the point: a therapist row is referenced by every appointment they ever took, and removing one would either orphan the history or cascade it away - both of which destroy the only record of what the spa actually did. Rows, not cards, because a front desk scans a roster.</t>
  </si>
  <si>
    <t xml:space="preserve">3.17</t>
  </si>
  <si>
    <t xml:space="preserve">Day-sheet month calendar and GET /appointments/schedule/month</t>
  </si>
  <si>
    <t xml:space="preserve">DayLoad(date, total, owed) per day of a month, same role and branch rules as schedule(). Grid at the bottom of S2: a load bar scaled against the busiest day, a gold dot on any day that still owes an answer, and the chosen day opens beneath it.</t>
  </si>
  <si>
    <t xml:space="preserve">Built 2026-09-01. Not cosmetic: S2 only ever called schedule() with no date, so a visit last Tuesday that nobody closed off was UNREACHABLE from every screen we ship - and an unanswered visit produces no outcome score. The calendar is how those days are found, which is why they are the one thing on the grid marked in gold. SecurityConfig's /schedule matcher is exact and did not cover the new path (B95).</t>
  </si>
  <si>
    <t xml:space="preserve">4.16</t>
  </si>
  <si>
    <t xml:space="preserve">Log the outcome loop and the day-sheet calendar in paper-deltas</t>
  </si>
  <si>
    <t xml:space="preserve">Two additions the frozen paper does not describe: the client re-scoring pain after a visit, and a month view inside S2. Neither contradicts the paper; both need a paragraph before a panelist asks where they came from.</t>
  </si>
  <si>
    <t xml:space="preserve">The outcome loop is arguably the paper's own claim finally made true rather than a deviation - painScoreAfter is in the schema the paper describes. Say that plainly. The calendar is new UI inside an existing screen (S2), not a 23rd screen, so it does not reopen R14.</t>
  </si>
  <si>
    <t xml:space="preserve">1.23</t>
  </si>
  <si>
    <t xml:space="preserve">Console design pass - S1 and A1-A6</t>
  </si>
  <si>
    <t xml:space="preserve">A .dash vocabulary in styles.scss: page heads with a rule, named row/stack classes, stat tiles that can carry state, figure clusters, table hover and empty rows, health-state classes, and skeletons shaped like the content.</t>
  </si>
  <si>
    <t xml:space="preserve">Started 2026-09-01. The content on these screens was never the problem - it was placed with inline style attributes, roughly forty across five files and no two alike, so nothing lined up and nothing could be adjusted. S1, A1, A2 and A3 are converted; A4 (config, 298 lines) is not. Two decisions worth keeping: a stat tile now carries STATE (zero therapists available is not the same kind of fact as four bookings today, and four identical white tiles say that it is), and the readiness card's border - previously three nested ternaries building a CSS string in the template - is a class, because it is a state.</t>
  </si>
  <si>
    <t xml:space="preserve">3.18</t>
  </si>
  <si>
    <t xml:space="preserve">Write the two-node deployment story into the paper</t>
  </si>
  <si>
    <t xml:space="preserve">How two branches actually run: one node per branch on a mini PC or laptop at the counter, staff on the LAN, each with its own Postgres volume and NODE_ID. Plus the three things that still cross node boundaries.</t>
  </si>
  <si>
    <t xml:space="preserve">DEFERRED 2026-09-02 at Liodoq's request - polish the site first. Most of the answer already exists: NODE_ID/NODE_NAME are env vars, every appointment and audit row carries originNodeId, the JWT carries a nodeId claim, Flyway guarantees both nodes come up identical, and the seeder already creates Bulan AND Sorsogon City. THE ARGUMENT TO WRITE: because a therapist and a room each belong to exactly one branch, the two nodes barely need to talk - this is much smaller than 'distributed database'. Also worth one sentence that a 'server' here is a mini PC or spare laptop at the counter, not a rack, because 'each branch runs its own node' sounds expensive and is not. THREE THINGS STILL CROSS AND ONLY ONE IS SOLVED: JWT_SECRET must be identical on both nodes (solved, out of band, C6); the admin's aggregated view reads one node (needs Sprint 3 replicas); and A CUSTOMER REGISTERED AT BULAN DOES NOT EXIST AT SORSOGON - they would need two accounts today, which is written down nowhere and is a one-sentence question for a panelist. BLOCKER for practising on one laptop: compose.yaml hardcodes container_name, so two stacks cannot run on one machine without dropping those lines and parameterising the host ports. On two machines it works as-is.</t>
  </si>
  <si>
    <t xml:space="preserve">1.24</t>
  </si>
  <si>
    <t xml:space="preserve">Design pass on the demo path - Home and Book</t>
  </si>
  <si>
    <t xml:space="preserve">The two screens a panel watches a client use. 84 inline style attributes turned into named vocabulary in each page's own stylesheet; loading, unreachable and empty states given one shape so the card does not resize as the answer arrives.</t>
  </si>
  <si>
    <t xml:space="preserve">Built 2026-09-02. The content on both screens was already right - the problem was that it was PLACED with inline style attributes, 37 on Home and 47 on Book, at five different font sizes for what turned out to be three roles. Nothing could be adjusted without editing HTML in a dozen places and nothing lined up, because nothing shared a definition. Home's wellness profile became a definition list rather than three hand-built div pairs at three sizes. Book's context rail got named roles - it IS the safety argument made visible, so it should read as one thing. Class names deliberately specific to each screen: row, grid, panel and friends are taken globally or by Tailwind, and a short name in a stylesheet eventually means two things (B96, B108). Both files now at ZERO inline styles; tsc -p tsconfig.app.json clean.</t>
  </si>
  <si>
    <t xml:space="preserve">0.16</t>
  </si>
  <si>
    <t xml:space="preserve">Keep the exported n8n workflow in step with chat-build-context.js</t>
  </si>
  <si>
    <t xml:space="preserve">hilotspa-chat.workflow.json is the only record of the deployed workflow, and it drifted a whole commit behind the source file it mirrors: 10,233 bytes against 11,349, missing prompt rules 7b and 7c entirely. Re-export after every n8n Publish.</t>
  </si>
  <si>
    <t xml:space="preserve">Opened 2026-09-02. This drift is what made the "assistant claimed a booking" hunt take a whole session: git said the rules existed, the running instance had never seen them. Publish is not Save, and an export is not a publish. CLOSED 2026-09-05. Re-exported and verified by content, not by trusting the download: the repo copy had 0 of 4 expected markers (NEVER DESCRIBE THE SCREEN / CHOSEN ENGLISH / IN MY BOOKINGS IT IS DONE / headerAuth) and the new one has 4 of 4, 25,382 bytes against 17,926. The stale copy was also missing the webhook auth setting, so a rebuild from git would have published an UNAUTHENTICATED webhook.</t>
  </si>
  <si>
    <t xml:space="preserve">2.47</t>
  </si>
  <si>
    <t xml:space="preserve">Language choice applies to the assistant, not only its voice</t>
  </si>
  <si>
    <t xml:space="preserve">The chip in the chat toolbar set SpeechSynthesis and SpeechRecognition and nothing else, so it could read "English" while every reply came back in Filipino - the agent was mirroring the client and had never been told otherwise. Now sent to Spring on every turn (ChatRequest.language), normalised to en/fil/null in Java before it goes near a prompt, and carried into the n8n context where an explicit choice OVERRIDES the mirror rule.</t>
  </si>
  <si>
    <t xml:space="preserve">Built and verified 2026-09-03. A visible setting that does not apply is worse than no setting: the client read English, got Filipino, and reasonably concluded the control was broken. Numbered 2.47 on 2026-09-03; 2.33 was already the walk-in schema decision.</t>
  </si>
  <si>
    <t xml:space="preserve">0.25</t>
  </si>
  <si>
    <t xml:space="preserve">Commit and push the session 10 work</t>
  </si>
  <si>
    <t xml:space="preserve">39 modified files and nothing untracked, on top of e700795 - the whole of B116-B126, task 2.33 (the language chip), the assistant hold/timeout/ambiguity fixes, the svg pain markers and the coordinate-scale fix. The tree had gone several working sessions with no checkpoint, which is the largest single-point risk to the defence prototype: none of it exists anywhere but one laptop.</t>
  </si>
  <si>
    <t xml:space="preserve">VERIFIED against the repo 2026-09-03, not against this row: e700795..e91511e, 39 files, 1858 insertions, 141 deletions, working tree clean and main level with origin/main. Carries all of B116-B126, task 2.47 (the language chip), the assistant hold/timeout/ambiguity fixes and the pain-marker coordinate fix. Message is "Latest" - fine for a checkpoint, but the next one should say what changed; a commit message is the only account of a change that survives the session (B99).</t>
  </si>
  <si>
    <t xml:space="preserve">2.48</t>
  </si>
  <si>
    <t xml:space="preserve">Speech to text through the spa's own Vertex project</t>
  </si>
  <si>
    <t xml:space="preserve">A second voice path. The browser records, decodes to 16 kHz mono WAV, and posts base64 to a new POST /assistant/transcribe/{formId}; Spring forwards it to an n8n workflow that asks Gemini to transcribe verbatim; the TEXT comes back and lands in the message box for the client to read and send themselves. Books nothing, writes nothing, stores nothing - Spring logs the transcript's length and never its words.</t>
  </si>
  <si>
    <t xml:space="preserve">Built and VERIFIED LIVE 2026-09-05 in Chrome via ?stt=server: a spoken sentence came back as "I want it on September 8th uh 3:30 p.m." - the "uh" is a speech artifact nobody types - and the conversation booked from it. WHY IT EXISTS: Chrome's SpeechRecognition sends audio to Google's own transcription service, a second route out of the building that Risk R16 never covered; this keeps a client's spoken symptoms in the same GCP project, region and terms as the assistant. It is an ADDITION, not a replacement - Chrome keeps recognition because it captions a sentence as it is heard (NFR#4), and Safari/Firefox, which had no microphone at all, now have one. ?stt=server and ?stt=browser force either path for testing and for demonstrating both at the defence.</t>
  </si>
  <si>
    <t xml:space="preserve">0.27</t>
  </si>
  <si>
    <t xml:space="preserve">Deploy the full stack to AWS EC2 over HTTPS</t>
  </si>
  <si>
    <t xml:space="preserve">One t3.small in ap-southeast-1 running the same compose stack as the laptop: Caddy on 80/443 serving the ng build output and reverse-proxying /api/* to Spring, with backend, Postgres and n8n private to the Docker network. DuckDNS domain, Let's Encrypt certificate from the production endpoint.</t>
  </si>
  <si>
    <t xml:space="preserve">Liodoq + Claude</t>
  </si>
  <si>
    <t xml:space="preserve">LIVE 2026-09-11 at https://hilotspa.duckdns.org. Flyway applied all five migrations to a virgin database, so V2 (the double-booking exclusion constraint) is really in this schema. Seeder: 2 branches, 5 users, 3 therapists, 3 rooms, 10 services, 12 protocols. Login, CORS, the tap path, the fallback path and the assistant all verified from the public internet. Full record in claude/2026-09-11-aws-deployment-live.md. Root volume had to be grown 8 -&gt; 30 GB mid-build; EBS enforces a 6-hour cooldown between resizes.</t>
  </si>
  <si>
    <t xml:space="preserve">0.28</t>
  </si>
  <si>
    <t xml:space="preserve">Recover the development environment after the OneDrive deletion</t>
  </si>
  <si>
    <t xml:space="preserve">The project folder was deleted when OneDrive was uninstalled, and OneDrive was full so nothing had synced. Re-cloned from git, recovered .env from a VS Code buffer, restored the six keys that copy was missing.</t>
  </si>
  <si>
    <t xml:space="preserve">Only gitignored files were lost. The recovered .env was an older copy missing FLYWAY_ENABLED, DDL_AUTO, BOOKING_OPEN_HOUR, BOOKING_CLOSE_HOUR, SPA_HOURS and ASSISTANT_EXPOSE_DEBUG - the first two defaulting to false/update would have put the node back on auto-DDL and V2 would never have been applied. Boot then failed with SQL 28P01: POSTGRES_PASSWORD is only read when Postgres initialises an EMPTY data directory, so the surviving volume kept its original password. Fixed with ALTER USER inside the container rather than dropping the volume, preserving every test booking and assessment.</t>
  </si>
  <si>
    <t xml:space="preserve">0.29</t>
  </si>
  <si>
    <t xml:space="preserve">Commit the working-copy fixes so the deployed server can build them</t>
  </si>
  <si>
    <t xml:space="preserve">B128, B130 and the relative API base existed only in the laptop working copy; B131 only on the server. The AWS backend builds from git, so none of them were running.</t>
  </si>
  <si>
    <t xml:space="preserve">Committed 2026-09-12: AssistantServiceImpl, seven controllers, api.config.ts, chat-build-context.js, the re-synced workflow JSON and deploy-frontend.ps1. LESSON: a fix that is not committed does not exist anywhere a deployment can reach. Three separate bugs were re-encountered live because of this.</t>
  </si>
  <si>
    <t xml:space="preserve">0.30</t>
  </si>
  <si>
    <t xml:space="preserve">First outside-tester pass on the live site</t>
  </si>
  <si>
    <t xml:space="preserve">A person outside the team used https://hilotspa.duckdns.org cold: registered, browsed, attempted a booking.</t>
  </si>
  <si>
    <t xml:space="preserve">One tester, five minutes, one Major defect on the primary path (B133) that a week of self-testing missed - because the team always tests with accounts that already exist and profiles that are already cached. Record who tested, what they tapped and what happened; those notes are Chapter IV usability findings and are only free to collect while it is happening.</t>
  </si>
  <si>
    <t xml:space="preserve">HilotSpa — Bug &amp; Finding Log</t>
  </si>
  <si>
    <t xml:space="preserve">Where</t>
  </si>
  <si>
    <t xml:space="preserve">Problem</t>
  </si>
  <si>
    <t xml:space="preserve">Severity</t>
  </si>
  <si>
    <t xml:space="preserve">B1</t>
  </si>
  <si>
    <t xml:space="preserve">FormsRepository</t>
  </si>
  <si>
    <t xml:space="preserve">findBy* returned List&lt;Repository&gt; instead of List&lt;Forms&gt;</t>
  </si>
  <si>
    <t xml:space="preserve">Critical</t>
  </si>
  <si>
    <t xml:space="preserve">Fixed</t>
  </si>
  <si>
    <t xml:space="preserve">Would fail at application startup.</t>
  </si>
  <si>
    <t xml:space="preserve">B2</t>
  </si>
  <si>
    <t xml:space="preserve">User.java</t>
  </si>
  <si>
    <t xml:space="preserve">@OneToOne mapped to a List&lt;Demographics&gt;</t>
  </si>
  <si>
    <t xml:space="preserve">B3</t>
  </si>
  <si>
    <t xml:space="preserve">Massage.java</t>
  </si>
  <si>
    <t xml:space="preserve">Table name typo "masasage"</t>
  </si>
  <si>
    <t xml:space="preserve">Minor</t>
  </si>
  <si>
    <t xml:space="preserve">B4</t>
  </si>
  <si>
    <t xml:space="preserve">LocalTime used to represent a duration</t>
  </si>
  <si>
    <t xml:space="preserve">Major</t>
  </si>
  <si>
    <t xml:space="preserve">Now durationMinute.</t>
  </si>
  <si>
    <t xml:space="preserve">B5</t>
  </si>
  <si>
    <t xml:space="preserve">compose.yaml</t>
  </si>
  <si>
    <t xml:space="preserve">Leading space parsed into the JDBC URL</t>
  </si>
  <si>
    <t xml:space="preserve">B6</t>
  </si>
  <si>
    <t xml:space="preserve">Forms / PatientIntake</t>
  </si>
  <si>
    <t xml:space="preserve">Relationship inverted; capped every form at one pain point</t>
  </si>
  <si>
    <t xml:space="preserve">Entities and models now correct.</t>
  </si>
  <si>
    <t xml:space="preserve">B7</t>
  </si>
  <si>
    <t xml:space="preserve">Forms.java</t>
  </si>
  <si>
    <t xml:space="preserve">OLD @ManyToOne PatientIntake field was never deleted</t>
  </si>
  <si>
    <t xml:space="preserve">Fixed. Circular NOT NULL FK resolved.</t>
  </si>
  <si>
    <t xml:space="preserve">B8</t>
  </si>
  <si>
    <t xml:space="preserve">findByPatientIntakeId still present</t>
  </si>
  <si>
    <t xml:space="preserve">Will not resolve once B7 is fixed. Delete the method.</t>
  </si>
  <si>
    <t xml:space="preserve">B9</t>
  </si>
  <si>
    <t xml:space="preserve">PatientIntakeTransformImpl</t>
  </si>
  <si>
    <t xml:space="preserve">bodyView not mapped in either direction</t>
  </si>
  <si>
    <t xml:space="preserve">Body view was silently lost on every save and read. Mapped both directions.</t>
  </si>
  <si>
    <t xml:space="preserve">B10</t>
  </si>
  <si>
    <t xml:space="preserve">FormsTransformImpl</t>
  </si>
  <si>
    <t xml:space="preserve">formsModel.setId() never called</t>
  </si>
  <si>
    <t xml:space="preserve">Frontend gets no form ID back.</t>
  </si>
  <si>
    <t xml:space="preserve">B11</t>
  </si>
  <si>
    <t xml:space="preserve">PatientIntake service/controller</t>
  </si>
  <si>
    <t xml:space="preserve">create + update endpoints still exist</t>
  </si>
  <si>
    <t xml:space="preserve">Done. createPatientIntake/updatePatientIntake removed from service, impl, and controller.</t>
  </si>
  <si>
    <t xml:space="preserve">B12</t>
  </si>
  <si>
    <t xml:space="preserve">-</t>
  </si>
  <si>
    <t xml:space="preserve">MassageRepository</t>
  </si>
  <si>
    <t xml:space="preserve">findByPrice returns Optional but price is not unique</t>
  </si>
  <si>
    <t xml:space="preserve">findByPrice removed entirely; lookup is now by UUID id via JpaRepository.</t>
  </si>
  <si>
    <t xml:space="preserve">B13</t>
  </si>
  <si>
    <t xml:space="preserve">All entities</t>
  </si>
  <si>
    <t xml:space="preserve">Integer IDENTITY primary keys</t>
  </si>
  <si>
    <t xml:space="preserve">UUID primary keys across all entities. GenerationType.UUID.</t>
  </si>
  <si>
    <t xml:space="preserve">B14</t>
  </si>
  <si>
    <t xml:space="preserve">Whole backend</t>
  </si>
  <si>
    <t xml:space="preserve">No Spring Security, no authentication at all</t>
  </si>
  <si>
    <t xml:space="preserve">Resolved by 0.6a-0.6c-1: Spring Security 7 + OAuth2 resource server, BCrypt hashing, JWT issuance, endpoint role rules. Remaining query-level scoping tracked separately as B29/B30.</t>
  </si>
  <si>
    <t xml:space="preserve">B15</t>
  </si>
  <si>
    <t xml:space="preserve">git history</t>
  </si>
  <si>
    <t xml:space="preserve">DB password admin1234 committed</t>
  </si>
  <si>
    <t xml:space="preserve">Mitigated</t>
  </si>
  <si>
    <t xml:space="preserve">.env now gitignored. Change the actual DB password.</t>
  </si>
  <si>
    <t xml:space="preserve">B16</t>
  </si>
  <si>
    <t xml:space="preserve">Repo</t>
  </si>
  <si>
    <t xml:space="preserve">CRLF line endings make every diff unreadable</t>
  </si>
  <si>
    <t xml:space="preserve">Fixed: .gitattributes now has * text=auto eol=lf.</t>
  </si>
  <si>
    <t xml:space="preserve">B17</t>
  </si>
  <si>
    <t xml:space="preserve">FormsServiceImpl</t>
  </si>
  <si>
    <t xml:space="preserve">Unused PatientIntakeRepository autowire + import</t>
  </si>
  <si>
    <t xml:space="preserve">Removed during 0.3 sweep.</t>
  </si>
  <si>
    <t xml:space="preserve">B18</t>
  </si>
  <si>
    <t xml:space="preserve">updateForm does not update painPoints</t>
  </si>
  <si>
    <t xml:space="preserve">Fixed: updateForm now calls replacePainPoints(); orphanRemoval deletes dropped markers.</t>
  </si>
  <si>
    <t xml:space="preserve">B19</t>
  </si>
  <si>
    <t xml:space="preserve">src/test</t>
  </si>
  <si>
    <t xml:space="preserve">BackendApplicationTests deleted; zero tests exist</t>
  </si>
  <si>
    <t xml:space="preserve">CLOSED and VERIFIED 2026-08-26 - 23 tests green, 0 skipped. The three added are exactly the questions a panel asks: can staff see another branch, does the safety filter actually filter, and can two people be given the same therapist.</t>
  </si>
  <si>
    <t xml:space="preserve">B20</t>
  </si>
  <si>
    <t xml:space="preserve">.git</t>
  </si>
  <si>
    <t xml:space="preserve">Stale index.lock left by the review bridge</t>
  </si>
  <si>
    <t xml:space="preserve">Fixed: lock cleared.</t>
  </si>
  <si>
    <t xml:space="preserve">B21</t>
  </si>
  <si>
    <t xml:space="preserve">Branch/Forms + User/Demographics</t>
  </si>
  <si>
    <t xml:space="preserve">Bidirectional relationships with no @ToString.Exclude / @EqualsAndHashCode.Exclude</t>
  </si>
  <si>
    <t xml:space="preserve">Fixed: excludes added to all 5 bidirectional fields.</t>
  </si>
  <si>
    <t xml:space="preserve">B22</t>
  </si>
  <si>
    <t xml:space="preserve">Branch.java</t>
  </si>
  <si>
    <t xml:space="preserve">@OneToMany(cascade = ALL) on Branch.forms</t>
  </si>
  <si>
    <t xml:space="preserve">Fixed: cascade removed from Branch.forms. Patient records survive branch deletion.</t>
  </si>
  <si>
    <t xml:space="preserve">B23</t>
  </si>
  <si>
    <t xml:space="preserve">Demographics.java</t>
  </si>
  <si>
    <t xml:space="preserve">@JoinColumn(name = "usersId") is camelCase; Forms uses users_id</t>
  </si>
  <si>
    <t xml:space="preserve">Fixed: renamed to users_id.</t>
  </si>
  <si>
    <t xml:space="preserve">B24</t>
  </si>
  <si>
    <t xml:space="preserve">MassageController</t>
  </si>
  <si>
    <t xml:space="preserve">@GetMapping("/{price}") bound to @PathVariable("massagePrice"); @PutMapping("/{id}") bound to massageId</t>
  </si>
  <si>
    <t xml:space="preserve">Name mismatches would fail at startup. Endpoints rebuilt around /{id}.</t>
  </si>
  <si>
    <t xml:space="preserve">B25</t>
  </si>
  <si>
    <t xml:space="preserve">role mapped without @Enumerated - JPA silently defaults to ORDINAL</t>
  </si>
  <si>
    <t xml:space="preserve">Stores 0/1/2 not CUSTOMER/STAFF/ADMIN. Reordering the enum later would silently reassign access. Now EnumType.STRING.</t>
  </si>
  <si>
    <t xml:space="preserve">B26</t>
  </si>
  <si>
    <t xml:space="preserve">price was a Float</t>
  </si>
  <si>
    <t xml:space="preserve">Floating point cannot represent money exactly; totals drift and revenue will not reconcile. Now BigDecimal(10,2).</t>
  </si>
  <si>
    <t xml:space="preserve">B27</t>
  </si>
  <si>
    <t xml:space="preserve">complaint fields were free-text String</t>
  </si>
  <si>
    <t xml:space="preserve">"Sciatica" vs "sciatica" were different conditions; AI contraindication lookup would miss. Now ComplaintType enum.</t>
  </si>
  <si>
    <t xml:space="preserve">B28</t>
  </si>
  <si>
    <t xml:space="preserve">.env</t>
  </si>
  <si>
    <t xml:space="preserve">Two JWT_SECRET lines - placeholder and real value</t>
  </si>
  <si>
    <t xml:space="preserve">Whichever won depended on the loader. The 50-char placeholder passes the 256-bit check, so the app would have booted happily signing tokens with a value committed in .env.example. Silent, not an error.</t>
  </si>
  <si>
    <t xml:space="preserve">B29</t>
  </si>
  <si>
    <t xml:space="preserve">0.6c-2</t>
  </si>
  <si>
    <t xml:space="preserve">createForm trusts userId and branchId from the request body</t>
  </si>
  <si>
    <t xml:space="preserve">VERIFIED 2026-08-22: createForm already reads CurrentUser.id() and overrides the body for a CUSTOMER. Was fixed in an earlier session and never marked.</t>
  </si>
  <si>
    <t xml:space="preserve">B30</t>
  </si>
  <si>
    <t xml:space="preserve">FormsController</t>
  </si>
  <si>
    <t xml:space="preserve">GET /api/v1/forms returns every patient assessment to any authenticated user</t>
  </si>
  <si>
    <t xml:space="preserve">VERIFIED 2026-08-22: getAllForms already branches on role - ADMIN all, STAFF own branch, CUSTOMER own records via findByUserId. Fixed in an earlier session and never marked.</t>
  </si>
  <si>
    <t xml:space="preserve">B31</t>
  </si>
  <si>
    <t xml:space="preserve">All 6 controllers</t>
  </si>
  <si>
    <t xml:space="preserve">@CrossOrigin annotations duplicate the CorsConfigurationSource bean</t>
  </si>
  <si>
    <t xml:space="preserve">Open</t>
  </si>
  <si>
    <t xml:space="preserve">Still on all six controllers, duplicating the CorsConfigurationSource bean.</t>
  </si>
  <si>
    <t xml:space="preserve">B32</t>
  </si>
  <si>
    <t xml:space="preserve">Repo root</t>
  </si>
  <si>
    <t xml:space="preserve">Superseded HilotSpa_Baseline_Observation.xlsx still present</t>
  </si>
  <si>
    <t xml:space="preserve">HilotSpa_Baseline_Observation.xlsx still in the repo root, superseded by two split workbooks.</t>
  </si>
  <si>
    <t xml:space="preserve">B33</t>
  </si>
  <si>
    <t xml:space="preserve">hilotspaObsidia/ untracked - neither committed nor ignored</t>
  </si>
  <si>
    <t xml:space="preserve">hilotspaObsidia/ is gitignored; it no longer shows as untracked.</t>
  </si>
  <si>
    <t xml:space="preserve">B34</t>
  </si>
  <si>
    <t xml:space="preserve">package.json</t>
  </si>
  <si>
    <t xml:space="preserve">tailwindcss listed in BOTH dependencies (^4.3.3) and devDependencies (^4.1.12). Two versions of one package resolve unpredictably.</t>
  </si>
  <si>
    <t xml:space="preserve">Now devDependencies only. tailwindcss and @tailwindcss/postcss must match exactly in v4.</t>
  </si>
  <si>
    <t xml:space="preserve">B35</t>
  </si>
  <si>
    <t xml:space="preserve">0.6c</t>
  </si>
  <si>
    <t xml:space="preserve">FormsTransformImpl + FormsServiceImpl</t>
  </si>
  <si>
    <t xml:space="preserve">transform(FormsModel) and applyFields do the SAME entity mapping in two places. Every new field must be added to both or they silently drift.</t>
  </si>
  <si>
    <t xml:space="preserve">Found while wiring Forms.intent. Not urgent, but it will cause a "why is this field null" hunt eventually.</t>
  </si>
  <si>
    <t xml:space="preserve">B36</t>
  </si>
  <si>
    <t xml:space="preserve">JWT_SECRET and SPRING_PROFILES_ACTIVE were never passed into the backend container. application.properties could not resolve ${JWT_SECRET}, the context failed, restart: on-failure turned it into a silent crash loop.</t>
  </si>
  <si>
    <t xml:space="preserve">Presented as "could not reach server". Fixed with env_file: .env plus environment overrides for DB_HOST/DB_PORT. Same family as B28.</t>
  </si>
  <si>
    <t xml:space="preserve">B37</t>
  </si>
  <si>
    <t xml:space="preserve">FormsAccessControlTest</t>
  </si>
  <si>
    <t xml:space="preserve">The createForm helper posts a JSON body with no "intent". It is currently dead code, so the suite is green while the fixture is invalid.</t>
  </si>
  <si>
    <t xml:space="preserve">It will fail the moment test three is written, with a 500 on a test about authorization.</t>
  </si>
  <si>
    <t xml:space="preserve">B38</t>
  </si>
  <si>
    <t xml:space="preserve">tailwind.css</t>
  </si>
  <si>
    <t xml:space="preserve">Tailwind 4 @theme only emits variables it sees used, and it scans templates for utility classes, not var() in .scss. --radius-* and the tap size were dropped, so every input lost its height and corners.</t>
  </si>
  <si>
    <t xml:space="preserve">Fixed with @theme static plus a :root block in styles.scss. Also renamed --spacing-tap to --tap: --spacing-* is Tailwind own namespace.</t>
  </si>
  <si>
    <t xml:space="preserve">B39</t>
  </si>
  <si>
    <t xml:space="preserve">interactions.scss</t>
  </si>
  <si>
    <t xml:space="preserve">.mk.static sets transform:none, but the hover rule re-applied translate(-50%,-50%). Every marker in the "Spots you marked" list jumped on hover.</t>
  </si>
  <si>
    <t xml:space="preserve">Static markers now scale in place.</t>
  </si>
  <si>
    <t xml:space="preserve">B40</t>
  </si>
  <si>
    <t xml:space="preserve">review.html</t>
  </si>
  <si>
    <t xml:space="preserve">The C7 thumbnails rendered real &lt;button&gt; markers with no handler bound: three focusable controls that did nothing.</t>
  </si>
  <si>
    <t xml:space="preserve">BodyMap now takes an interactive input; review passes false and the markers render disabled.</t>
  </si>
  <si>
    <t xml:space="preserve">B41</t>
  </si>
  <si>
    <t xml:space="preserve">mockup JS</t>
  </si>
  <si>
    <t xml:space="preserve">getAttribute on a valueless attribute returns "" (falsy), so a hasAttribute check was needed. Filters silently did nothing.</t>
  </si>
  <si>
    <t xml:space="preserve">Prototype only, but the same trap exists with bare attribute inputs in Angular.</t>
  </si>
  <si>
    <t xml:space="preserve">B42</t>
  </si>
  <si>
    <t xml:space="preserve">Forms.java / FormsModel</t>
  </si>
  <si>
    <t xml:space="preserve">intent was added to the entity as NOT NULL but not to the model, transformer or applyFields. Every form creation would have inserted null and failed at the database.</t>
  </si>
  <si>
    <t xml:space="preserve">Compiled cleanly. Same family as the three Session 3 boot failures: the compiler cannot see a field you forgot to use.</t>
  </si>
  <si>
    <t xml:space="preserve">B43</t>
  </si>
  <si>
    <t xml:space="preserve">SecurityConfig line 68</t>
  </si>
  <si>
    <t xml:space="preserve">/api/v1/demographics/** is hasAnyRole(STAFF, ADMIN), so a CUSTOMER cannot save their own C3 answers.</t>
  </si>
  <si>
    <t xml:space="preserve">Added POST/GET /api/v1/demographics/me - identity from the JWT, body never trusted. SecurityConfig rule placed ABOVE the STAFF/ADMIN line (Spring takes the first match). /create, /{id}, PUT and the list stay STAFF+ADMIN for walk-ins.</t>
  </si>
  <si>
    <t xml:space="preserve">B44</t>
  </si>
  <si>
    <t xml:space="preserve">assessment.store.ts</t>
  </si>
  <si>
    <t xml:space="preserve">buildRemarks() packs occupation, illness detail, therapy detail and safety flags into a text blob because H1/H2 have not landed.</t>
  </si>
  <si>
    <t xml:space="preserve">Marked TEMPORARY in the code. A blob is not queryable and cannot be shown back on the review screen. | Fixed 2026-08-30 - see task 1.20. remarks is free text again; assessments written before this date still carry the old "Flagged: ... | Preferred pressure: ..." sentences.</t>
  </si>
  <si>
    <t xml:space="preserve">B45</t>
  </si>
  <si>
    <t xml:space="preserve">mainComplaint is now nullable so a leisure assessment can save. The conditional rule - required when intent=PAIN, forbidden when LEISURE - is not enforced anywhere.</t>
  </si>
  <si>
    <t xml:space="preserve">A column constraint cannot express it. It belongs in createForm as a guard that throws 400. | Fixed 2026-08-30.</t>
  </si>
  <si>
    <t xml:space="preserve">B46</t>
  </si>
  <si>
    <t xml:space="preserve">core/demo.ts</t>
  </si>
  <si>
    <t xml:space="preserve">Every figure on the Sprint 2 and 3 screens is placeholder data.</t>
  </si>
  <si>
    <t xml:space="preserve">CLOSED 2026-08-26. Every Sprint 2 and 3 screen now reads a real endpoint, and core/demo.ts has been deleted outright so nothing can quietly fall back to it. The two screens with no backend - S2 queue and S5 walk-in - show honest not-built states naming what is missing rather than convincing fake names.</t>
  </si>
  <si>
    <t xml:space="preserve">B47</t>
  </si>
  <si>
    <t xml:space="preserve">6 x &lt;select&gt; across profile, history, body map, walk-in</t>
  </si>
  <si>
    <t xml:space="preserve">&lt;select [value]="x"&gt; with @for options assigns the value in the same change-detection pass that creates the &lt;option&gt; elements, so it silently resets to the first one. Civil status never saved.</t>
  </si>
  <si>
    <t xml:space="preserve">Bind [selected] on the option instead. It was wrong in six places, not just the one he reported.</t>
  </si>
  <si>
    <t xml:space="preserve">B48</t>
  </si>
  <si>
    <t xml:space="preserve">app-nav</t>
  </si>
  <si>
    <t xml:space="preserve">The avatar called auth.logout() on click. One stray click ended the session and took a half-filled assessment with it.</t>
  </si>
  <si>
    <t xml:space="preserve">Opens an account menu now.</t>
  </si>
  <si>
    <t xml:space="preserve">B49</t>
  </si>
  <si>
    <t xml:space="preserve">Two "Submit my assessment" buttons on one screen - ambiguous which one saved.</t>
  </si>
  <si>
    <t xml:space="preserve">Footer only.</t>
  </si>
  <si>
    <t xml:space="preserve">B50</t>
  </si>
  <si>
    <t xml:space="preserve">review.ts</t>
  </si>
  <si>
    <t xml:space="preserve">After a successful submit the router went back to /assessment/intent. Submitting read as "nothing happened".</t>
  </si>
  <si>
    <t xml:space="preserve">Goes to /book - a completed assessment is what unlocks the assistant.</t>
  </si>
  <si>
    <t xml:space="preserve">B51</t>
  </si>
  <si>
    <t xml:space="preserve">intent.ts</t>
  </si>
  <si>
    <t xml:space="preserve">Leisure reached the assistant without writing a Forms record.</t>
  </si>
  <si>
    <t xml:space="preserve">Would have made the pain/leisure fork cosmetic and destroyed the SS E1 defense line. Now one tap that saves first, then goes to /book.</t>
  </si>
  <si>
    <t xml:space="preserve">B52</t>
  </si>
  <si>
    <t xml:space="preserve">4 wizard steps</t>
  </si>
  <si>
    <t xml:space="preserve">"Save and finish later" and "Back to home" called auth.logout().</t>
  </si>
  <si>
    <t xml:space="preserve">Hostile behaviour on a half-filled form.</t>
  </si>
  <si>
    <t xml:space="preserve">B53</t>
  </si>
  <si>
    <t xml:space="preserve">An empty PAIN assessment - no spots, no chief complaint - could be submitted.</t>
  </si>
  <si>
    <t xml:space="preserve">Client-side guard added. The SERVER-side guard is still B45.</t>
  </si>
  <si>
    <t xml:space="preserve">B54</t>
  </si>
  <si>
    <t xml:space="preserve">home.ts</t>
  </si>
  <si>
    <t xml:space="preserve">Cancelling a booking lived in a signal only, so a refresh brought it back.</t>
  </si>
  <si>
    <t xml:space="preserve">BookingStore persisted to localStorage until DELETE /appointments exists.</t>
  </si>
  <si>
    <t xml:space="preserve">B55</t>
  </si>
  <si>
    <t xml:space="preserve">home.html</t>
  </si>
  <si>
    <t xml:space="preserve">"View report" opened /assessment/review - the live wizard. A finished session could be rewritten, and what was edited was the NEW draft, not the old record.</t>
  </si>
  <si>
    <t xml:space="preserve">Read-only /report/:id.</t>
  </si>
  <si>
    <t xml:space="preserve">B56</t>
  </si>
  <si>
    <t xml:space="preserve">body-map</t>
  </si>
  <si>
    <t xml:space="preserve">Free coordinates let markers land in empty space beside the torso, and the region label rendered blank.</t>
  </si>
  <si>
    <t xml:space="preserve">Rebuilt on 30 fixed hotspots. Region is now a fact about which point was tapped.</t>
  </si>
  <si>
    <t xml:space="preserve">B57</t>
  </si>
  <si>
    <t xml:space="preserve">process</t>
  </si>
  <si>
    <t xml:space="preserve">Two patches failed SILENTLY because Liodoq had edited the same file (renamed leave() to back()). String-match patching found nothing and reported success.</t>
  </si>
  <si>
    <t xml:space="preserve">Read before patching when both parties are editing. Verify after every patch batch.</t>
  </si>
  <si>
    <t xml:space="preserve">B58</t>
  </si>
  <si>
    <t xml:space="preserve">PatientIntakeModel</t>
  </si>
  <si>
    <t xml:space="preserve">The UI now records the client left/right, but there is no column to send it to.</t>
  </si>
  <si>
    <t xml:space="preserve">CLOSED in Track A (task 0.11). PatientIntake.side is a Side enum and is written; S4 renders L/R per marked point. Status was left stale.</t>
  </si>
  <si>
    <t xml:space="preserve">B59</t>
  </si>
  <si>
    <t xml:space="preserve">PatientIntakeRepository</t>
  </si>
  <si>
    <t xml:space="preserve">findPatientIntakeByAnatomicalRegionAndPainScore survived the H1-H8 rename with a stale property name AND a stale String parameter. Compiled clean, crash-looped at boot.</t>
  </si>
  <si>
    <t xml:space="preserve">Both methods had zero callers and were deleted, not renamed. The coordinate lookup also wrongly assumed an (x,y) pair is unique across all clients.</t>
  </si>
  <si>
    <t xml:space="preserve">B60</t>
  </si>
  <si>
    <t xml:space="preserve">n8n Validate and rank</t>
  </si>
  <si>
    <t xml:space="preserve">A 401 from Vertex and a deactivated Vertex node both reported modelUsed=stub, so a broken credential was indistinguishable from a healthy FALLBACK.</t>
  </si>
  <si>
    <t xml:space="preserve">Now separates stub / error / model-version and surfaces Google's message in parseError. This is what found B61.</t>
  </si>
  <si>
    <t xml:space="preserve">B61</t>
  </si>
  <si>
    <t xml:space="preserve">n8n Google Service Account credential</t>
  </si>
  <si>
    <t xml:space="preserve">Vertex returns 401 UNAUTHENTICATED - 'missing required authentication credential'. No token is being attached; 401 not 403 rules out the IAM role.</t>
  </si>
  <si>
    <t xml:space="preserve">ROOT CAUSE: the Google Service Account credential has a 'Set up for use in HTTP Request node' TOGGLE, not a plain Scope(s) field. Off by default, so the generic HTTP node got no token. The Vertex Chat Model node uses the credential natively and never needed it - which is why chat worked while recommend returned 401 on the same credential.</t>
  </si>
  <si>
    <t xml:space="preserve">B62</t>
  </si>
  <si>
    <t xml:space="preserve">GEMINI_API_KEY sat in .env looking load-bearing. Spring never calls Gemini - n8n does - so it was never read.</t>
  </si>
  <si>
    <t xml:space="preserve">Commented out with the reason. An empty variable that looks required is worse than no variable.</t>
  </si>
  <si>
    <t xml:space="preserve">B63</t>
  </si>
  <si>
    <t xml:space="preserve">GCP project identity</t>
  </si>
  <si>
    <t xml:space="preserve">Chat model was set to project 'talkingAgent'. RESOLVED: that is the display name; the id is gen-lang-client-0276346734, same project as the service account JSON. No mismatch.</t>
  </si>
  <si>
    <t xml:space="preserve">CLOSED. Vertex has answered live repeatedly since 2026-08-22 on gen-lang-client-0276346734 - the API is enabled and billing is attached, or nothing would return. Status was left stale after the problem resolved itself.</t>
  </si>
  <si>
    <t xml:space="preserve">B64</t>
  </si>
  <si>
    <t xml:space="preserve">n8n Vertex chat + recommend</t>
  </si>
  <si>
    <t xml:space="preserve">Chat reply was cut off mid-sentence ('...ensure the pressure is'). gemini-2.5-flash is a thinking model and reasoning tokens count against maxOutputTokens, so a small budget is spent before any text is emitted.</t>
  </si>
  <si>
    <t xml:space="preserve">Fixed by maxOutputTokens 2048 + thinkingConfig.thinkingBudget 0 in the Vertex Gemini JSON body. Before: thoughtTokens 491, answerTokens 6, finishReason MAX_TOKENS. After: parseError null. STILL TO DO: the chat model node is on 400 tokens and will truncate the same way - set it to 2048.</t>
  </si>
  <si>
    <t xml:space="preserve">B65</t>
  </si>
  <si>
    <t xml:space="preserve">DemographicsServiceImpl</t>
  </si>
  <si>
    <t xml:space="preserve">createDemographics never set the user - the code carried a 'should be handled here if needed' note. Every row was written orphaned with users_id NULL, so findByUserId could never retrieve it and the profile silently vanished.</t>
  </si>
  <si>
    <t xml:space="preserve">Postgres allows unlimited NULLs through a unique constraint, so nothing ever complained. Fixed in saveMine, which sets the user from the token.</t>
  </si>
  <si>
    <t xml:space="preserve">B66</t>
  </si>
  <si>
    <t xml:space="preserve">Demographics entity</t>
  </si>
  <si>
    <t xml:space="preserve">height and weight were @Column(nullable = false) while the UI and the paper form both treat them as optional. A client leaving weight blank would have hit a constraint violation on save.</t>
  </si>
  <si>
    <t xml:space="preserve">Made nullable. Blocking a booking over an unstated weight fails NFR#4. Needs docker compose down -v - ddl-auto=update does not drop NOT NULL.</t>
  </si>
  <si>
    <t xml:space="preserve">B67</t>
  </si>
  <si>
    <t xml:space="preserve">auth.service logout</t>
  </si>
  <si>
    <t xml:space="preserve">logout() cleared the auth token but left the cached profile in localStorage - another person's birth date, civil status and occupation, on what is a shared machine at the front desk.</t>
  </si>
  <si>
    <t xml:space="preserve">Found while moving ProfileStore onto the server. logout() now clears PROFILE_CACHE_KEY too.</t>
  </si>
  <si>
    <t xml:space="preserve">B68</t>
  </si>
  <si>
    <t xml:space="preserve">process / compose</t>
  </si>
  <si>
    <t xml:space="preserve">docker compose down -v wiped the n8n volume - workflows, Vertex credential, owner account and execution history. Claude gave the command without checking that n8n_data lived in the same compose project.</t>
  </si>
  <si>
    <t xml:space="preserve">Recovery took ~10 min because both workflows are version-controlled files and the service-account JSON was still on disk. Only the credential is unrecoverable by design (encrypted per instance). Documented in n8n/SETUP.md with the drop-one-volume command and a volume backup. LESSON: check what else shares the compose project before suggesting a destructive flag.</t>
  </si>
  <si>
    <t xml:space="preserve">B69</t>
  </si>
  <si>
    <t xml:space="preserve">booking.store.ts / home / session-report</t>
  </si>
  <si>
    <t xml:space="preserve">A brand-new account opened onto three fictional past sessions and a fictional body map. BookingStore seeded history from demo.ts PAST_VISITS at module load and home rendered LAST_POINTS, so EVERY user saw the same clinical record. Every session report showed the same body map too.</t>
  </si>
  <si>
    <t xml:space="preserve">Found by Liodoq registering a fresh email. Now loads GET /api/v1/forms, which the backend already scopes to the caller. New account shows nothing, which is correct. lastPoints comes from the client's own most recent form; each report renders its own marks. Also fixes the enum leak in the UI (LOWER_BACK_PAIN -&gt; Lower Back Pain).</t>
  </si>
  <si>
    <t xml:space="preserve">B70</t>
  </si>
  <si>
    <t xml:space="preserve">auth.service / profile.store</t>
  </si>
  <si>
    <t xml:space="preserve">Registering or logging in as a different user in the same browser kept the previous client's demographics. logout() cleared the cache, but accept() did not - so a brand new account opened onto the last person's birth date, sex, civil status and occupation.</t>
  </si>
  <si>
    <t xml:space="preserve">Found by Liodoq registering a@gmail.com after his own account. accept() now compares the incoming userId to the current one and wipes BOTH caches, in memory and in localStorage, on any change - then reloads from the server. The front desk is a shared machine, so this is a real disclosure, not a demo artefact.</t>
  </si>
  <si>
    <t xml:space="preserve">B71</t>
  </si>
  <si>
    <t xml:space="preserve">The wellness profile card had 'Lower Back Pain', '1 - 6 months', 'High blood pressure' and 'From your last assessment, 2 August' written directly into the template, so every account showed them even after the data layer was fixed.</t>
  </si>
  <si>
    <t xml:space="preserve">Bound to the client's own most recent form, with a real empty state for a new account. Duration and the record note only render when present.</t>
  </si>
  <si>
    <t xml:space="preserve">B72</t>
  </si>
  <si>
    <t xml:space="preserve">DevDataSeeder / Massage</t>
  </si>
  <si>
    <t xml:space="preserve">The seeded service catalogue was invented (Traditional Hilot, Swedish Relaxation, Foot Reflexology, Deep Tissue). The spa actually sells Signature Massage, Bone Setting, Therapeutic Massage, Ventosa, Hotstone, Suob, Head Spa, Basic Massage. Every AI recommendation was for a service that does not exist.</t>
  </si>
  <si>
    <t xml:space="preserve">Found by reviewing 137 archived records. Would have invalidated every UAT session and every Ch.IV recommendation figure.</t>
  </si>
  <si>
    <t xml:space="preserve">B73</t>
  </si>
  <si>
    <t xml:space="preserve">ServiceProtocol seed</t>
  </si>
  <si>
    <t xml:space="preserve">Three CONTRAINDICATED rows were placeholders, yet they actively filtered what the assistant could offer. The SS D3 safety demonstration was running on invented clinical rules.</t>
  </si>
  <si>
    <t xml:space="preserve">Deleted. Archived records cannot establish a contraindication - they never record a service being withheld. The mechanism is built and awaits real rules (task 4.13).</t>
  </si>
  <si>
    <t xml:space="preserve">B74</t>
  </si>
  <si>
    <t xml:space="preserve">Appointment / Massage</t>
  </si>
  <si>
    <t xml:space="preserve">The spa sells COMBOS - 'Signature Massage (60) + Ventosa (30)' is the norm, not the exception. Appointment holds exactly one service, so a real booking cannot be represented.</t>
  </si>
  <si>
    <t xml:space="preserve">Schema gap on the scale of the SS H items. Options: an add-on join table, or a composite service row per combo. Needs a decision before UAT.</t>
  </si>
  <si>
    <t xml:space="preserve">B75</t>
  </si>
  <si>
    <t xml:space="preserve">paper</t>
  </si>
  <si>
    <t xml:space="preserve">Appendix A coverage</t>
  </si>
  <si>
    <t xml:space="preserve">'Others' is 28 of 137 records - tied with Lower Back Pain as the most common presentation. A fifth of real clients do not map onto Appendix A's 24 conditions. 6 conditions never appear at all.</t>
  </si>
  <si>
    <t xml:space="preserve">A finding for the paper, not a defect. mainComplaintOther already captures the text; Ch.IV should report the 20% figure rather than let a panellist compute it.</t>
  </si>
  <si>
    <t xml:space="preserve">B76</t>
  </si>
  <si>
    <t xml:space="preserve">Practitioner identity</t>
  </si>
  <si>
    <t xml:space="preserve">The Protocol Draft names Raymund D. Hilotin; the paper intake form names Gary O. Trinidad, BONE SETTER. Combined with SS A4 (researcher Niccolo Gwyne C. Hilotin shares the owners' surname), the panel will ask.</t>
  </si>
  <si>
    <t xml:space="preserve">Decide which name signs the ServiceProtocol table, and write the SS A4 disclosure sentence in the same pass.</t>
  </si>
  <si>
    <t xml:space="preserve">B77</t>
  </si>
  <si>
    <t xml:space="preserve">Appointment / entities</t>
  </si>
  <si>
    <t xml:space="preserve">Appointment.customer is @JoinColumn(nullable = false) onto User, so an appointment cannot exist without an account - and a walk-in, which is what S5 exists to record, has none. Half the answer is already in the schema: DemographicsController.createDemographics exists precisely for the account-less client.</t>
  </si>
  <si>
    <t xml:space="preserve">CLOSED 2026-08-26. customer nullable + walkInName/walkInContact + a @Check constraint requiring one of them. Rejected the alternative (a counter-held User row) because an account that cannot log in is a false entry in the accounts screen and would undermine the claim that self-registration is the only way an account exists. The consequence is stated rather than hidden: a walk-in has no account, so no history follows them - which is what happens on paper today. Covered by DoubleBookingTest.</t>
  </si>
  <si>
    <t xml:space="preserve">B78</t>
  </si>
  <si>
    <t xml:space="preserve">booking.ts / booking.html / booking.store</t>
  </si>
  <si>
    <t xml:space="preserve">My Bookings computed the soonest upcoming visit with [0] and discarded the rest; past was computed and never rendered. A client with two bookings saw one and had no way to know the other existed. The home screen's next-visit card was separately always empty - BookingStore.upcoming was a null signal with a TODO.</t>
  </si>
  <si>
    <t xml:space="preserve">Found by Liodoq: the assistant answered "you have two" while the page showed one. Same family as B69 - the screen quietly disagreeing with the database. Now: next visit highlighted, an "Also booked" list, and a past-visits table; home reads GET /appointments/mine.</t>
  </si>
  <si>
    <t xml:space="preserve">B79</t>
  </si>
  <si>
    <t xml:space="preserve">chat-build-context.js / AssistantServiceImpl</t>
  </si>
  <si>
    <t xml:space="preserve">"yes please" failed to book where "I confirm" worked. Two causes: the prompt said "only after the client has clearly agreed" without ever saying what agreement looks like, and even with the intent read correctly the booking still required the model to copy a long serviceId@timestamp back verbatim.</t>
  </si>
  <si>
    <t xml:space="preserve">Prompt rule 9 now enumerates agreement explicitly - yes, yes please, opo, oo, sige, okay, go ahead, book it, confirm - and forbids the agent from asking a client to rephrase. The structural fix matters more: POST /assistant/confirm/{formId} books a tapped slotId with the model nowhere on the path, so a client can always finish whatever the assistant does with the word "yes".</t>
  </si>
  <si>
    <t xml:space="preserve">B80</t>
  </si>
  <si>
    <t xml:space="preserve">chat-build-context.js</t>
  </si>
  <si>
    <t xml:space="preserve">Asked for availability, the assistant read out every open time in prose - nine half-hour slots across two services in one paragraph. Unreadable, and worse for the older adults NFR#4 is written for.</t>
  </si>
  <si>
    <t xml:space="preserve">Prompt rules 15-17: name at most two times, describe a run as a range, never a bulleted list. The times themselves are now chips grouped by day, with Today/Tomorrow/date computed in Java in the spa timezone - a wrong device clock cannot rename a day.</t>
  </si>
  <si>
    <t xml:space="preserve">B81</t>
  </si>
  <si>
    <t xml:space="preserve">DevDataSeeder / recommendation UI</t>
  </si>
  <si>
    <t xml:space="preserve">Two catalogue rows are both named "Signature Massage" - 60 min (84 records) and 90 min (2 records). Suggestion cards showed the name alone, so the list read as the same row twice with two different reasons.</t>
  </si>
  <si>
    <t xml:space="preserve">Recommendation now carries durationMinutes and price, taken from the database row and never from the model, and the prompt requires the minutes to be said with the name. Real data, not a seeding mistake - the spa genuinely sells one treatment at two lengths.</t>
  </si>
  <si>
    <t xml:space="preserve">B82</t>
  </si>
  <si>
    <t xml:space="preserve">admin/overview</t>
  </si>
  <si>
    <t xml:space="preserve">The Assistant reliability panel showed "0 out-of-catalog suggestions", "86% agreement with practitioner" and "142 suggestions this month" as literal text in the template. Invented numbers on the one screen whose entire purpose is to show that the reliability figure is measured rather than asserted.</t>
  </si>
  <si>
    <t xml:space="preserve">Now counted from audit_log by GET /admin/overview, using the same arithmetic as backend/verify.sql, so the screen and psql can be shown side by side and agree. This is the single worst thing a panellist could have found: a fabricated metric on the evidence screen.</t>
  </si>
  <si>
    <t xml:space="preserve">B83</t>
  </si>
  <si>
    <t xml:space="preserve">admin/overview + admin/branches</t>
  </si>
  <si>
    <t xml:space="preserve">Both screens drew two branch nodes, one ONLINE and one OFFLINE with queued writes and stale figures. There is one node, and no node registry exists.</t>
  </si>
  <si>
    <t xml:space="preserve">Reports the node answering the request and says on screen that the registry is Sprint 3. A second node drawn as offline is a picture of a feature, not the feature - and it invites exactly the question there is no good answer to.</t>
  </si>
  <si>
    <t xml:space="preserve">B84</t>
  </si>
  <si>
    <t xml:space="preserve">home.ts / booking.store</t>
  </si>
  <si>
    <t xml:space="preserve">Cancel showed "Cancelled - Sunday 23 August is free again" while no DELETE endpoint exists. The row stayed CONFIRMED, the therapist and room stayed blocked, and the client would only discover it by turning up.</t>
  </si>
  <si>
    <t xml:space="preserve">Wording fixed to say the card is hidden here only and to call the branch; the endpoint itself is task 2.32. Copy that claims a write which did not happen is worse than a missing button.</t>
  </si>
  <si>
    <t xml:space="preserve">B85</t>
  </si>
  <si>
    <t xml:space="preserve">Forms entity</t>
  </si>
  <si>
    <t xml:space="preserve">Forms.user is @JoinColumn(nullable = false), so a walk-in cannot have a pre-assessment either - the same defect as B77, one table over. A client who walks in and IS willing to fill in the form still cannot have it recorded against their visit.</t>
  </si>
  <si>
    <t xml:space="preserve">Deliberately left out of the B77 fix to keep one schema change to one table. Also riskier: making Forms.user nullable weakens the ownership invariant B29/B30 established, and BookingServiceImpl.book() dereferences form.getUser() directly. The honest boundary for now matches R9 - the walk-in's intake stays on paper, like the practitioner's half of Appendix A. | Fixed 2026-08-30.</t>
  </si>
  <si>
    <t xml:space="preserve">B86</t>
  </si>
  <si>
    <t xml:space="preserve">Staff queue (S2)</t>
  </si>
  <si>
    <t xml:space="preserve">There is no walk_in table holding arrival time and waiting order, so the queue screen cannot order anybody. An appointment row records when someone is BOOKED, not how long they have been standing at the counter.</t>
  </si>
  <si>
    <t xml:space="preserve">S2 now shows today's real remaining sessions and who is free, with a banner naming exactly what is missing, rather than invented names. Low priority: the spa currently manages the queue by looking at the queue.</t>
  </si>
  <si>
    <t xml:space="preserve">B87</t>
  </si>
  <si>
    <t xml:space="preserve">n8n/chat-build-context.js</t>
  </si>
  <si>
    <t xml:space="preserve">The assistant quoted "PHP 0" to a client. The prompt is handed the raw price and told never to quote any other figure, and every treatment seeds at 0.00 until the spa hands over its rate card - so the model faithfully told a client a 30-minute treatment costs nothing.</t>
  </si>
  <si>
    <t xml:space="preserve">Found by probe P3, which was testing something else entirely. Zero is the ABSENCE of a price, not a price of nothing. money() in chat-build-context.js now renders it as "price not on file - the client settles at the counter", and rule 6 forbids saying a treatment is free. priceLabel() had done this in the browser for weeks; the string the MODEL reads was never fixed. VERIFIED both branches: PHP 500 for a priced treatment, "not on file" for Suob.</t>
  </si>
  <si>
    <t xml:space="preserve">B88</t>
  </si>
  <si>
    <t xml:space="preserve">The assistant told clients "we do not offer acupuncture here at HilotSpa". The establishment trades as Knead Wellness Spa - the branches, the sidebar and every booking confirmation already say so, so a client got a confirmation from one business and a conversation from another.</t>
  </si>
  <si>
    <t xml:space="preserve">Found by probe P3. HilotSpa is the name of the SYSTEM, not the business. The system prompt was the last place still using it. This is SS A3 / R10 surfacing somewhere new - fixed to match the rest of the running system, which does not pre-empt the adviser: if they pick the other convention everything changes together.</t>
  </si>
  <si>
    <t xml:space="preserve">B89</t>
  </si>
  <si>
    <t xml:space="preserve">AssistantServiceImpl.bookableSlots()</t>
  </si>
  <si>
    <t xml:space="preserve">The agent could only ever discuss ONE morning. availability() returns the whole 7-day window in chronological order, and bookableSlots() took the first 8 per service - which is 9:00 to 12:30 on the earliest open day and nothing else all week. Asked about 1 or 2 September, the agent replied that the treatment was "not available" then. That was FALSE: the times existed, they were cut off before the agent saw them.</t>
  </si>
  <si>
    <t xml:space="preserve">Found by Liodoq testing dates two and three days out. The cap was not the fault - the ORDER was. spread() now takes the earliest time on EVERY open day before any day gets a second, then adds a middle-of-day time nearest-first, so mornings and afternoons across the whole window are both offered. SLOTS_PER_SERVICE 8 -&gt; 14, derived as SLOT_DAYS * SLOTS_PER_DAY so widening the window cannot silently starve the later days again. Also prompt rule 18: AVAILABLE TIMES is not every date the spa is open, so the agent must say it can only see the next few days rather than assert unavailability it cannot know. Directly serves the Scope bullet "Analyzing available time, dates, and resources".</t>
  </si>
  <si>
    <t xml:space="preserve">B90</t>
  </si>
  <si>
    <t xml:space="preserve">pages/book (C9)</t>
  </si>
  <si>
    <t xml:space="preserve">Reaching /book without a formId was a dead end. Home's "book again" and the session report both navigate to /book with no query parameter; the assistant then refused, and repeated the same refusal when the client replied "I have pre assessment, access my previous assessment". There was no way forward from the screen.</t>
  </si>
  <si>
    <t xml:space="preserve">Reported by Liodoq with a screenshot of exactly that exchange. /book now loads the client history on arrival and offers the 60-day reuse copy in place - one tap calls POST /forms/{id}/reuse, sets the formId, rewrites the query string and runs the recommendation - or offers the short form when there is nothing recent. Typing a message with no assessment now points at the same offer instead of repeating the refusal.</t>
  </si>
  <si>
    <t xml:space="preserve">B91</t>
  </si>
  <si>
    <t xml:space="preserve">AssistantServiceImpl / n8n chat prompt</t>
  </si>
  <si>
    <t xml:space="preserve">The agent told a client "the Signature Massage is not available at 3:00 PM on Thursday". It could not know that. After the B89 fix the agent sees two times a day per treatment - a SAMPLE - and the prompt header called it "the complete and only bookable set", so a time missing from the sample was reported as taken. Same class of error as B89, one level down: days were fixed, hours were not.</t>
  </si>
  <si>
    <t xml:space="preserve">Two changes. (1) DEPTH ON DEMAND: ChatRequest now carries focusServiceId, and the service the conversation has narrowed to is sent at FULL calendar resolution while the rest stay sampled - so the request does not grow with the length of the menu, and the one treatment being discussed can be answered about precisely. The tap path derives the service from the slotId prefix and expands it too, otherwise a visible, tappable time could be missing from the recomputed sample and the tap would fail as "just gone" while the room was free. (2) HONESTY: ChatToN8n carries completeFor, and prompt rules 19/20 are generated from it - the agent may only assert an hour is taken when it was told that calendar is complete; otherwise it says it cannot see that hour and offers the nearest. The header no longer claims the list is the complete calendar, only the complete BOOKABLE set.</t>
  </si>
  <si>
    <t xml:space="preserve">B92</t>
  </si>
  <si>
    <t xml:space="preserve">booking.store.ts toLog() / session-report (C11)</t>
  </si>
  <si>
    <t xml:space="preserve">A client's past-session record shows no room - and no therapist, branch, service or duration either. The history list is built from GET /forms alone, so toLog() has nothing to fill them with and hardcodes 'Pre-assessment', 0 minutes and three em-dashes. Appointment already carries a form FK and the Booking DTO already carries room; nothing joins the two on the READ path, so a finished visit reads as an assessment with the visit missing.</t>
  </si>
  <si>
    <t xml:space="preserve">Spotted by Liodoq. NOT a data loss - the room is stored, assigned by assign() and shown correctly on the booking screens, the home card and the C9 confirmation. It is only the session report that cannot see it. Fix: AppointmentRepository has no findByFormId; add one, carry the latest non-cancelled appointment on FormsModel, and let toLog() read it. Watch for one form to many appointments - a client can book twice off one assessment, so take the latest. This screen is also where painScoreBefore/After is read, so it is the Chapter IV outcome surface: it should show the visit, not just the form. | Fixed 2026-08-30.</t>
  </si>
  <si>
    <t xml:space="preserve">B93</t>
  </si>
  <si>
    <t xml:space="preserve">core/auth.service.ts</t>
  </si>
  <si>
    <t xml:space="preserve">An expired JWT still restored a signed-in session. restore() read the token from storage and trusted it without looking at exp, so the app rendered a signed-in shell for somebody the server would reject on the next call.</t>
  </si>
  <si>
    <t xml:space="preserve">Reported by Liodoq. restore() now decodes exp and discards an expired session; the interceptor calls expire() on a 401 so the shell clears without navigating away mid-task. This is a DISPLAY decision, not a security one - the server was never fooled and remains the authority. Fixed 2026-08-31.</t>
  </si>
  <si>
    <t xml:space="preserve">B94</t>
  </si>
  <si>
    <t xml:space="preserve">src/test - DoubleBookingTest</t>
  </si>
  <si>
    <t xml:space="preserve">Local tests share a database with the running app, so bookings made by hand while testing consume the very slots a fixture assumes are free. ruleFourDoesNotBlockTheSlotItself returned 201 instead of 409 locally while passing in CI, which uses its own Postgres service container.</t>
  </si>
  <si>
    <t xml:space="preserve">Not a regression - the fixture assumed the first open slot had two free therapists AND two free rooms. It now walks slots until it finds one that does, so it verifies its own precondition instead of trusting the seed. The underlying issue stands: a local run is not a clean run, and a green local suite proves less than a green CI run. Worth a line in the defence notes if anyone asks how the tests are run.</t>
  </si>
  <si>
    <t xml:space="preserve">B95</t>
  </si>
  <si>
    <t xml:space="preserve">config/SecurityConfig.java</t>
  </si>
  <si>
    <t xml:space="preserve">requestMatchers(GET, "/api/v1/appointments/schedule") is an EXACT match and does not cover /schedule/month. The new endpoint fell through to anyRequest().authenticated(), so any signed-in customer could have counted a branch's bookings.</t>
  </si>
  <si>
    <t xml:space="preserve">Caught while wiring the calendar, before it shipped. The service refuses non-staff anyway, so this was the outer wall rather than the only one - but the outer wall is the one that survives a routing mistake. Its own matcher added. LESSON: the /appointments matchers are exact-match, so every future /schedule/* route needs its own line. Fixed 2026-09-01.</t>
  </si>
  <si>
    <t xml:space="preserve">B96</t>
  </si>
  <si>
    <t xml:space="preserve">pages/staff/queue/queue.scss</t>
  </si>
  <si>
    <t xml:space="preserve">The calendar rendered completely unstyled - one column of bare numbers, buttons with no chrome. The component SCSS used .grid, .day, .nav and .load as top-level class names. All four are Tailwind utilities, and tailwind.css loads globally ahead of the component styles; .grid { display: grid } with no columns is exactly a one-column stack.</t>
  </si>
  <si>
    <t xml:space="preserve">Reported by Liodoq with a screenshot. Every rule is now nested under .cal, which puts each selector at (0,2,0) or better so it cannot lose a specificity tie to a utility class. A second contributor: the dev-server watcher missed the .scss write (it picked up the .html and .ts from the same batch), so the template updated while the stylesheet did not. LESSON: never take a Tailwind utility name for a component class. Fixed 2026-09-01.</t>
  </si>
  <si>
    <t xml:space="preserve">B97</t>
  </si>
  <si>
    <t xml:space="preserve">pages/account, pages/profile</t>
  </si>
  <si>
    <t xml:space="preserve">Both pages rendered stored values as DISABLED INPUTS. A disabled input still has a box, a border and a caret-shaped invitation; the only cue is a slight greying, which .panel.locked then removed by setting opacity back to 1. The result read as a form the client was not allowed to use.</t>
  </si>
  <si>
    <t xml:space="preserve">Reported by Liodoq as "redesign". Stored values are text now. Editing reuses the SAME two-column grid, swapping only what sits in the value column, so pressing Edit does not reflow the page. /account also stopped explaining that health details live elsewhere and simply shows them. Fixed 2026-09-01.</t>
  </si>
  <si>
    <t xml:space="preserve">B98</t>
  </si>
  <si>
    <t xml:space="preserve">db/migration + pages/about + pages/contact</t>
  </si>
  <si>
    <t xml:space="preserve">V5__room_photo.sql was untracked. Flyway owns the schema and Hibernate runs ddl-auto=validate, so on any clean clone image_name is never created and THE BACKEND REFUSES TO START. about.html/scss and contact.html/scss were untracked too, and their components reference them by templateUrl, so the frontend would not have compiled either.</t>
  </si>
  <si>
    <t xml:space="preserve">Invisible locally, because the working copy has all five files. It would have surfaced on the first deployment (0.21-0.23) or the first clone by anyone else. Found during the pre-commit review on 2026-09-01 and committed in c4579c0. LESSON: after any session that adds files, check git status for untracked ones BEFORE assuming the work is safe.</t>
  </si>
  <si>
    <t xml:space="preserve">B99</t>
  </si>
  <si>
    <t xml:space="preserve">The n8n image is still docker.n8n.io/n8nio/n8n:latest although commit 8817cf7 is titled "pinned image". A breaking n8n release before the defence would break the demo silently and there would be no way to roll back to a known-good tag.</t>
  </si>
  <si>
    <t xml:space="preserve">Verified 2026-09-01. Pin to 2.33.5, the version confirmed running. One line, then docker compose up -d. Task 0.13.</t>
  </si>
  <si>
    <t xml:space="preserve">B100</t>
  </si>
  <si>
    <t xml:space="preserve">Working method</t>
  </si>
  <si>
    <t xml:space="preserve">git WRITES were run through the device bridge on 2026-09-01, against an explicit standing rule in working-agreements.md. The mount denies unlink, so git could not remove its own .git/index.lock after each command and left 125 orphaned tmp_obj_* files in .git/objects.</t>
  </si>
  <si>
    <t xml:space="preserve">Raised by Liodoq: "You are the one committing now not me." The rule existed precisely because of this failure mode and was in the working agreements the whole time; it was lost when the session context was compacted and not re-read. Objects themselves are intact - they are created by rename, and only the temp files leaked. Clean with git gc --prune=now in PowerShell. AGREEMENT RESTATED: Claude writes files and READS git; Liodoq runs every git write.</t>
  </si>
  <si>
    <t xml:space="preserve">B101</t>
  </si>
  <si>
    <t xml:space="preserve">BookingServiceImpl.mine() + pages/booking (C10)</t>
  </si>
  <si>
    <t xml:space="preserve">mine() branched on role: an ADMIN got appointmentRepository.findAll() and STAFF got their whole branch. /booking is a CLIENT screen and renders that list as "You have 2 visits booked", so an administrator signing in was shown a named client's visit, therapist, room and reference labelled as their own. The controller comment directly above it reads "The caller's own appointments. Never anyone else's."</t>
  </si>
  <si>
    <t xml:space="preserve">Reported by Liodoq with an admin window and a client window side by side showing the same reference F38D664F. Not an unauthorised disclosure - an admin may see bookings on the staff screens - but the screen presented them as the signed-in person's own, which is both wrong and exactly the kind of thing a panel notices. mine() is now findByCustomerId(me) unconditionally; staff and admin have schedule() and schedule/month, which are the routes carrying the branch rules. LESSON: a role check must never WIDEN a query whose name says "mine". All three test call sites use a customer token, so the suite is unaffected. Fixed 2026-09-01.</t>
  </si>
  <si>
    <t xml:space="preserve">B102</t>
  </si>
  <si>
    <t xml:space="preserve">pages/booking (C10)</t>
  </si>
  <si>
    <t xml:space="preserve">"Past visits" filtered on `start &lt; now || status === CANCELLED`, so a visit cancelled for NEXT Wednesday sat under a heading promising the past, beside a no-show and beside a visit from three days ago that nobody had closed off. Each row showed its raw database enum - a client was reading NO_SHOW and CONFIRMED.</t>
  </si>
  <si>
    <t xml:space="preserve">Reported in the same message ("what is wrong with the sessions?"). The SET was right - a client does want to see a booking they cancelled - so the heading became "Visit history" and the enums became sentences: Completed / Did not attend / Cancelled / Not recorded. A visit whose time has passed and which the spa never closed off now reads "Not recorded", never "no show", because the client is not at fault and only somebody who was in the room can say which it was. A footnote says so and points them at the counter. Upcoming also now excludes COMPLETED and NO_SHOW, not just CANCELLED. This is R20 made visible on the client side. Fixed 2026-09-01.</t>
  </si>
  <si>
    <t xml:space="preserve">B103</t>
  </si>
  <si>
    <t xml:space="preserve">app.routes.ts / app-nav / login.ts</t>
  </si>
  <si>
    <t xml:space="preserve">Signing in as an ADMIN could land on the CUSTOMER landing page, with the client top bar: HOME, MY BOOKINGS, and an avatar menu offering "My health details" and "My bookings". app-nav branched on auth.token() alone and never on role, "/" had no guard at all, and login honoured any ?next= including client-only paths. An administrator has no bookings and no pain map, so every one of those links led somewhere empty or wrong - and MY BOOKINGS is how B101 was reachable in the first place.</t>
  </si>
  <si>
    <t xml:space="preserve">Reported by Liodoq with a screenshot of the admin signed in on the public landing page. Root cause was that "where does this role belong" was written three times and agreed nowhere: login.ts had a private landing(), app-nav hardcoded /home, and the root route had nothing. Now one definition in core/role-home.ts - homeFor(role), isConsoleRole(role), isClientPath(url) and a publicHomeGuard. "/" bounces STAFF and ADMIN to their own console but leaves CUSTOMERS free to browse, because a public menu without an account is deliberate. The top bar has three states instead of two, and a staff or admin viewing a public page gets a "Back to the console" button instead of client links. login no longer honours a ?next= pointing at a client-only path for a console role. Fixed 2026-09-01.</t>
  </si>
  <si>
    <t xml:space="preserve">B104</t>
  </si>
  <si>
    <t xml:space="preserve">styles.scss - .card, .note, .consent</t>
  </si>
  <si>
    <t xml:space="preserve">.side and .sidebar set color:#fff on a forest-900 panel. .card and .note paint their own PALE backgrounds but never set a text colour, so nested inside one they inherited that white - white text on sage-100, which is invisible. It hit the body-map step's "Spots you marked" list and its "not a diagnosis" note, and every other place the two are nested.</t>
  </si>
  <si>
    <t xml:space="preserve">Reported by Liodoq: "Not readable... I can see there are also like this." Fixed at the source rather than per screen: .card, .note and .consent now declare color: var(--color-ink-900). RULE: a surface that paints its own background must paint its own text. Nothing that only sets a background can be safely nested in a dark panel. Fixed 2026-09-01.</t>
  </si>
  <si>
    <t xml:space="preserve">B105</t>
  </si>
  <si>
    <t xml:space="preserve">FormsServiceImpl.requireComplaintWhenInPain + C5 + C7</t>
  </si>
  <si>
    <t xml:space="preserve">A PAIN assessment with no chief complaint is refused by the API (B45, correctly - every contraindication rule is keyed to a condition). But the client could reach step 5 with none chosen and the refusal arrived as the bare words "Bad Request" at the end of a five-step form. Two causes: step 3 offered no way forward for somebody who cannot name their condition, and Spring omits ResponseStatusException reasons by default so describeHttpError() was reading a `message` field the server never sent.</t>
  </si>
  <si>
    <t xml:space="preserve">Reported by Liodoq across several screenshots, confirmed by his own review page reading "Bothers you most: not chosen". Three changes. (1) server.error.include-message is now always/env-gated, so every hand-written 4xx reason actually reaches the browser. (2) Step 3 gained "I am not sure / it is not on this list" as a first-class answer, recorded as OTHER with the words "Not stated" - never null, so the record distinguishes "they could not say" from "we never asked". The argument is B75: Others is 28 of 137 real records, and asking a layperson to choose between Spondylosis and Radiculopathy is asking them to self-diagnose on a screen that says the system does not diagnose. (3) The review step checks before it posts and names the step to go back to. Also: the duration chips are disabled until a chief complaint exists - the question had no subject. NEEDS a paper-delta paragraph. Fixed 2026-09-01.</t>
  </si>
  <si>
    <t xml:space="preserve">B106</t>
  </si>
  <si>
    <t xml:space="preserve">hilotspa-frontend/tsconfig.json - and every session since 0.8</t>
  </si>
  <si>
    <t xml:space="preserve">THE VERIFICATION STEP WAS A NO-OP. The root tsconfig.json carries "files": [] and no "include", so `ngc --noEmit` - the command used to verify every frontend change for weeks - compiled ZERO files and exited 0 unconditionally. Proven by appending `const PROOF: number = "not a number";` to a real file: ngc exit 0 with no output, tsc -p tsconfig.app.json exit 2 with the error. tsconfig.json compiles 0 files; tsconfig.app.json compiles 63.</t>
  </si>
  <si>
    <t xml:space="preserve">Surfaced when ng serve refused to build on a TS18046 that "ngc --noEmit" had just passed - a nested function inside describeHttpError could not see that `e` had been narrowed to HttpErrorResponse, because TypeScript does not carry a narrowing into a nested function. The narrowing bug was mine and took two minutes; the fact that the CHECK never ran is the finding. Every "type-check clean" reported in sessions 6, 7 and 8 was meaningless. Correct command: node_modules/.bin/tsc -p tsconfig.app.json --noEmit. The "files": [] root config is Angular CLI's own scaffold - it is a solution-style config meant only to be extended, never compiled - so this is a trap the tooling sets, not a mistake in the repo. Re-ran the real check across every file touched today: clean. working-agreements.md updated. Fixed 2026-09-01.</t>
  </si>
  <si>
    <t xml:space="preserve">B107</t>
  </si>
  <si>
    <t xml:space="preserve">FormsServiceImpl.createForm - the user lookup</t>
  </si>
  <si>
    <t xml:space="preserve">A pre-assessment could not be submitted: POST /forms/create returned 400 with no reason. Established by elimination from the console payload - branchId resolved, mainComplaint was NECK_PAIN, and every enum on the wire (region, side, view, complaint, sex, safety flag, pressure) matched the backend exactly. The only BAD_REQUEST left in the method is "User not found": the JWT carried a user id with no row behind it, a token that outlived its account after a database reset.</t>
  </si>
  <si>
    <t xml:space="preserve">Took an evening, and the cost was the PRESENTATION, not the bug. A stale session was being reported as a bad request at step 5 of a five-step form, while every read on the site still worked - which points a person at the data they just typed instead of at their login. Now: the caller's OWN id missing is 401 (the interceptor clears the session and asks them to sign in again, B93); somebody ELSE's id missing - an admin recording on behalf of a client - stays 400, because then the body really is wrong. LESSON: 4xx is a claim about WHOSE fault it is. Answering "your session is dead" and "your data is wrong" with the same status makes the second one unfindable. Also fixed en route: Spring was suppressing every ResponseStatusException reason (B105), and the debug log printed a placeholder instead of the resolved branchId. Fixed 2026-09-01.</t>
  </si>
  <si>
    <t xml:space="preserve">B108</t>
  </si>
  <si>
    <t xml:space="preserve">styles.scss - .me vs .bub.me</t>
  </si>
  <si>
    <t xml:space="preserve">Every message the CLIENT sent in the booking chat rendered as a tall, centred green box with the text pinned to the top. The .me surface class added for /account and /profile earlier the same day collided with .bub.me, the client's own chat bubble, and handed it padding: 0 24px 96px and margin: 0 auto. Same specificity (0,1,0), so source order decided, and the newer block was appended at the end of the file.</t>
  </si>
  <si>
    <t xml:space="preserve">Reported by Liodoq: "Customer chat text is uplift." Claude's own bug, introduced hours after writing the working agreement that forbids exactly this (B96, the Tailwind .grid collision). Renamed to .myinfo across styles.scss and four page files - 45 selectors. An audit for the general shape now exists: a class that owns a bare `.x { }` rule AND appears as `.a.x` somewhere else will silently apply to both. Run it over styles.scss with a regex over selectors, comparing the standalone set against the modifier set; it returns empty as of this fix. RULE: a global stylesheet class must be long enough that it can only mean one thing.</t>
  </si>
  <si>
    <t xml:space="preserve">B109</t>
  </si>
  <si>
    <t xml:space="preserve">pages/book - .chatcol</t>
  </si>
  <si>
    <t xml:space="preserve">The message composer scrolled off the bottom of the booking chat instead of staying put. .chatcol is a GRID ITEM, and a grid item defaults to min-height: auto - it refuses to shrink below its content - so .thread's overflow-y: auto never engaged, the column grew to fit every message, and the whole page scrolled.</t>
  </si>
  <si>
    <t xml:space="preserve">Reported alongside B108: "Also message bar scrolls down." One line: min-height: 0 on .chatcol, plus flex: 0 0 auto on .composer so it can never be compressed either. The same min-height: auto default is the commonest cause of "my overflow container will not scroll" in both flex and grid, and it is worth checking first every time. Fixed 2026-09-02.</t>
  </si>
  <si>
    <t xml:space="preserve">B110</t>
  </si>
  <si>
    <t xml:space="preserve">pages/home + pages/book - the price line</t>
  </si>
  <si>
    <t xml:space="preserve">Both the Home "next visit" card and the assistant's booked-confirmation card printed the raw price, so a client with an unpriced treatment was quoted "PHP 0". The recommendation list guarded this correctly; the two cards that a client actually reads after booking did not.</t>
  </si>
  <si>
    <t xml:space="preserve">Exactly the defect the adversarial probe suite found in the assistant's prose (B87) - "zero is the absence of a price, not a price of nothing" - reappearing in two places the fix never reached. Both now read "Price not on file - ask at the counter". WORTH NOTING FOR THE PAPER: the probe suite caught the prose instance and nothing caught these, because the probes exercise the API and not the screens. That is an honest limitation of the test approach and a good sentence for Chapter IV. Underlying cause is task 4.12 - 8 of 10 treatments still unpriced. Fixed 2026-09-02.</t>
  </si>
  <si>
    <t xml:space="preserve">B111</t>
  </si>
  <si>
    <t xml:space="preserve">pages/book + eleven other places</t>
  </si>
  <si>
    <t xml:space="preserve">Every "See times" button escaped the layout and stacked over the subtitle bar, the voice controls and the composer. The class was named `.fixed` - a TAILWIND UTILITY for position:fixed. Tailwind 4 generates utilities by SCANNING TEMPLATES, so writing class="btn fixed" did not merely risk matching an existing rule: it made Tailwind emit position:fixed. The collision was summoned by naming it. `.grow` and `.start` were introduced in the same pass.</t>
  </si>
  <si>
    <t xml:space="preserve">Reported by Liodoq with a screenshot of three buttons floating over the composer. THIRD OCCURRENCE of this exact class of bug in two days - B96 (.grid collapsed the month calendar), B108 (.me gave every chat bubble 96px of padding), now B111 - and all three were Claude's. So the response is a CHECK, not another resolution: scripts/check-class-collisions.mjs walks every .html and component .scss and fails on any class matching a bare Tailwind utility. It found TWELVE, several predating this session: .prose in about, .grow in branches and the staff dashboard, .static on the body-map markers, .block in two wizard steps, .grid in the staff calendar AND the shared date picker. All renamed; the audit now exits 0. The .static one is the instructive one - Tailwind's .static is also position:static, the identical declaration by coincidence, which is exactly why it never surfaced and would have surfaced the day Tailwind changed. Fixed 2026-09-02.</t>
  </si>
  <si>
    <t xml:space="preserve">B112</t>
  </si>
  <si>
    <t xml:space="preserve">AssistantServiceImpl - the guard under attemptBooking()</t>
  </si>
  <si>
    <t xml:space="preserve">The assistant announced a booking that never happened: "Okay po, booked na po kayo for Basic Massage, Thursday 12:30 PM" with no confirmation card and nothing written. The existing guard against a false confirmation lives INSIDE attemptBooking(), so it only ever examined replies that ADMITTED to booking - it fires on raw.book(). A reply that announced a booking in prose while book was false skipped it entirely.</t>
  </si>
  <si>
    <t xml:space="preserve">Reported by Liodoq with a transcript. claimsBooking() now runs on the non-booking path and replaces any past-tense claim with "I have not booked anything yet" plus the slots. The lesson generalises: a guard that only inspects the honest path is not a guard. VERIFIED 2026-09-03 in Liodoq's transcripts after docker compose up --build.</t>
  </si>
  <si>
    <t xml:space="preserve">B113</t>
  </si>
  <si>
    <t xml:space="preserve">pages/book - stage() and focus()</t>
  </si>
  <si>
    <t xml:space="preserve">The suggestion panel never advanced during a conversation. stage() only left "suggest" when Spring returned CHOOSE with a pending slot, so an ordinary turn - client names a treatment, assistant answers with that treatment's times - left focus() null and the panel went on showing the three recommendations it had printed before a word was typed. The times were in the reply text and nowhere the client could tap them.</t>
  </si>
  <si>
    <t xml:space="preserve">Reported by Liodoq as "During the chat. It doesn't change the output". FIXED TWICE: the first attempt (focusFromSlots) assumed slots were narrowed to the service under discussion and they are not - bookableSlots() returns every allowed service on purpose, so the "all one service" test was false on every turn and the fix was a no-op. Now server-driven: ChatResponse carries replyServiceId, which the model already reported and Spring was discarding. VERIFIED 2026-09-03 in Liodoq's transcripts after docker compose up --build.</t>
  </si>
  <si>
    <t xml:space="preserve">B114</t>
  </si>
  <si>
    <t xml:space="preserve">n8n - the chat webhook</t>
  </si>
  <si>
    <t xml:space="preserve">Spring logged "n8n returned no reply for form ... (raw=null)" and the client got the front-desk apology while the slot panel underneath was full of real times.</t>
  </si>
  <si>
    <t xml:space="preserve">Diagnosed from the SCREEN before the log confirmed it: the panel was populated, and slots.set() runs inside the try block, so a thrown request could not have filled it - therefore HTTP 200, therefore the fault was in n8n's body and not the transport. Reasoning about what could NOT have happened narrowed it faster than reading logs. Liodoq fixed it by rebuilding the Build context node.</t>
  </si>
  <si>
    <t xml:space="preserve">B115</t>
  </si>
  <si>
    <t xml:space="preserve">n8n prompt + AssistantServiceImpl - the settle path</t>
  </si>
  <si>
    <t xml:space="preserve">THE CONVERSATION COULD NOT BOOK AT ALL. The assistant settled a time in prose - "Na-hold na po namin ang time na Fri 4 Sep, 9:00 AM" - and left book=false, so no slotId reached Spring, the therapist-and-room card never opened, and no visit was ever written. The client said "Kayo na ang bahala", agreed to everything, and was told "makikita niyo po ang detalye sa inyong screen" - pointing at a screen that would never show anything. My Bookings stayed empty. Tapping a time booked correctly, which is what hid it.</t>
  </si>
  <si>
    <t xml:space="preserve">CAUSED BY THE FIX FOR THE PREVIOUS BUG. Rules 7 and 7b spend six lines telling the model it does not book and must never say it has; book=true reads like the thing it was just forbidden, so it stopped setting the FIELD along with stopping saying the WORD. Two fixes: rule 7d separates them in as many words, and Spring now recovers the slot by matching the day and hour in the reply - labels Spring itself rendered and handed to the model, so it is recognising its own output coming back, not parsing free text. Requires day AND hour AND service, refuses on ambiguity, and returns CHOOSE so nothing is written without a tap. The prompt asks; the Java guarantees. VERIFIED 2026-09-03 in Liodoq's transcripts after docker compose up --build.</t>
  </si>
  <si>
    <t xml:space="preserve">B116</t>
  </si>
  <si>
    <t xml:space="preserve">pages/book - the booked branch of send()</t>
  </si>
  <si>
    <t xml:space="preserve">The assistant announced the booking three times in a row: the model's own line, Spring's confirmation and a third prose line the component added. A comment directly above the offending line described the fix as though it had been applied; it never had.</t>
  </si>
  <si>
    <t xml:space="preserve">Removed on both the tapped and the conversational path. A comment that describes a fix is not a fix - it read as done in review for a week.</t>
  </si>
  <si>
    <t xml:space="preserve">B117</t>
  </si>
  <si>
    <t xml:space="preserve">pages/book - the BOOKED card</t>
  </si>
  <si>
    <t xml:space="preserve">The BOOKED card told the client to "ask the front desk" to cancel. Untrue since My Bookings gained a Cancel button - the system sends people to a counter to do something the screen in front of them does.</t>
  </si>
  <si>
    <t xml:space="preserve">Now links to My bookings. Found by reading the card against the feature list rather than from a report.</t>
  </si>
  <si>
    <t xml:space="preserve">B118</t>
  </si>
  <si>
    <t xml:space="preserve">AssistantServiceImpl.slotNamedIn</t>
  </si>
  <si>
    <t xml:space="preserve">THE CONVERSATION COULD NOT SETTLE A TIME IN FILIPINO. The hold recovery matched the reply against the day chip label, which Java renders in English ("Sun 6 Sep"). The assistant mirrors the client, so a Filipino sentence that named the day perfectly - "sa Linggo, September 6, 3:30 PM" - matched nothing. The client agreed, Spring held the slot in its hand, and the panel sat on OPEN TIMES.</t>
  </si>
  <si>
    <t xml:space="preserve">Reported by Liodoq with a transcript, 2026-09-03. Now matches the DATE, not the string: chip label, "September 6", "6 Sep", "Sunday", "Linggo", "ngayon", "bukas", plus the hour, both required. Word-bounded - contains() finds "Sun" inside "susunod". 11 assertions run against his exact sentences before the fix shipped.</t>
  </si>
  <si>
    <t xml:space="preserve">B119</t>
  </si>
  <si>
    <t xml:space="preserve">application.properties - hilotspa.n8n.timeout-ms</t>
  </si>
  <si>
    <t xml:space="preserve">Every turn AFTER the client settled a time answered "I am having trouble answering right now". The n8n timeout was 5000ms for connect AND read. Once the conversation narrows to one treatment the agent is handed that service's whole calendar - up to 140 slots - and a Gemini call on a prompt that size does not return in five seconds. It never recovered because the focus persists.</t>
  </si>
  <si>
    <t xml:space="preserve">Read timeout 25s, connect timeout 3s - they answer different questions. Verified 2026-09-03: the fallbacks stopped. 5000 was not a timeout, it was a coin flip.</t>
  </si>
  <si>
    <t xml:space="preserve">B120</t>
  </si>
  <si>
    <t xml:space="preserve">AssistantServiceImpl - the hold-recovery block</t>
  </si>
  <si>
    <t xml:space="preserve">The hold still failed after B118. "Opo, na-hold na po ang Therapeutic Massage for you on Sunday, September 6, at 3:30 PM" carries no MINUTES, so serviceNamedIn could not identify the service (it needs name AND duration, because Signature Massage exists at 60 and 90) and raw.serviceId() was null. With no service to filter by, the lookup scanned every treatment; the two-a-day sample the others get happens to be 9:00 AM and 3:30 PM, so three services all answered to "Sunday 3:30 PM" and the ambiguity guard refused. The hold died for being too well described.</t>
  </si>
  <si>
    <t xml:space="preserve">The service is now resolved ONCE, before the slot lookup, falling back to focusServiceId - the treatment already on screen. The panel and the hold recovery were reading two different answers to the same question. VERIFIED 2026-09-03: full conversational booking, hold to BOOKED, no clicking.</t>
  </si>
  <si>
    <t xml:space="preserve">B121</t>
  </si>
  <si>
    <t xml:space="preserve">n8n prompt - rules 7c/7e/7f</t>
  </si>
  <si>
    <t xml:space="preserve">After the visit was written the assistant carried on as though the booking flow were still open. A booked client asked "can I assign a different therapist?" and was told the options "should be showing you on your screen right now". Nothing was showing. It cannot see the screen.</t>
  </si>
  <si>
    <t xml:space="preserve">Fixed (built, unverified)</t>
  </si>
  <si>
    <t xml:space="preserve">Rule 7f forbids describing the screen in either language; 7e says a visit in MY BOOKINGS is done; 7c no longer promises a picker unconditionally. PROMPT RULE, NOT A WALL - there is no true sentence to substitute the way there is for a false booking claim. Worth stating plainly at the defence. BUILT 2026-09-03 (docker compose up --build + n8n Code node re-paste). Behaviour not re-tested after the build - verify next session.</t>
  </si>
  <si>
    <t xml:space="preserve">B122</t>
  </si>
  <si>
    <t xml:space="preserve">AssistantServiceImpl.myBookingSummaries</t>
  </si>
  <si>
    <t xml:space="preserve">The agent could see that the client HAD a booking but not who it was with: the summary line carried service, duration and status only. So when a booked client asked to change therapist it had nothing true to say and invented a screen (B121).</t>
  </si>
  <si>
    <t xml:space="preserve">The line now names the therapist and the room. This is the caller's OWN booking, so it costs no privacy - other clients' bookings have never appeared here. BUILT 2026-09-03 (docker compose up --build + n8n Code node re-paste). Behaviour not re-tested after the build - verify next session.</t>
  </si>
  <si>
    <t xml:space="preserve">B123</t>
  </si>
  <si>
    <t xml:space="preserve">AssistantServiceImpl.devOnly + compose.yaml</t>
  </si>
  <si>
    <t xml:space="preserve">WITHDRAWN - THIS BUG WAS NOT REAL. Claimed that devOnly() never fired because spring.profiles.active was never set, and therefore that the chat response's debug field had always been null. FALSE: .env contains SPRING_PROFILES_ACTIVE=dev and compose.yaml loads it through env_file, so the dev profile has been active in the running container all along and the debug field has always been populated.</t>
  </si>
  <si>
    <t xml:space="preserve">Not a bug (withdrawn)</t>
  </si>
  <si>
    <t xml:space="preserve">WITHDRAWN 2026-09-05, proven by the backend boot log: DevDataSeeder is @Profile("dev") and it logged 'Seed data already present' - a bean that cannot exist unless the profile is on. The diagnosis was reached by grepping application.properties and compose.yaml and NOT .env, which is the file that actually sets it. Exactly the incomplete-search error the row itself was written to warn about, made while writing the warning. THE CHANGE IS KEPT: hilotspa.assistant.expose-debug decouples diagnostics from the seeder, which is a real improvement - you should not have to seed test data to see why a fallback fired. But it fixed nothing that was broken, and the earlier requests for the debug field were answerable all along.</t>
  </si>
  <si>
    <t xml:space="preserve">B124</t>
  </si>
  <si>
    <t xml:space="preserve">shared/body-map - the numbered marks</t>
  </si>
  <si>
    <t xml:space="preserve">The pain markers rendered far outside the body map - at the bottom-right of the homepage wellness card and beside the note on the admin View assessment page. Treated as a CSS containing-block problem for two sessions. It was not: see B125. This row records the change that was made to the rendering, which is worth keeping on its own merits.</t>
  </si>
  <si>
    <t xml:space="preserve">The marks now draw INSIDE the svg in its own 300x640 coordinates instead of as absolutely positioned DOM nodes over it, and scale with the figure - the per-page '.mk { width: 24px }' overrides existed only to shrink a 50px marker inside a 92px thumbnail, and are now unnecessary. But this did NOT fix the reported symptom; it changed it from 'wildly misplaced' to 'invisible', because the out-of-range coordinates fall outside the viewBox and an svg clips. Keep the change, do not credit it with the fix. BUILT 2026-09-03 (docker compose up --build + n8n Code node re-paste). Behaviour not re-tested after the build - verify next session.</t>
  </si>
  <si>
    <t xml:space="preserve">B125</t>
  </si>
  <si>
    <t xml:space="preserve">core/assessment.store.ts write vs booking.store.ts + staff/report.ts read</t>
  </si>
  <si>
    <t xml:space="preserve">THE PAIN MARKERS WERE NEVER A CSS BUG. The assessment stores a marker as 0-1000 - "coordinateX: Math.round(p.x * 10), // resolution-independent" - and NOTHING scaled it back down. Two separate readers, the homepage wellness card and the admin View assessment page, each took the stored number for a percentage. A marker at 35% of the width came back as 350, and "left: 350%" puts it three and a half figures to the right of the body. That is exactly where the markers kept appearing, and .figure { position: relative } had been correct the entire time.</t>
  </si>
  <si>
    <t xml:space="preserve">Found 2026-09-03 only after the third rendering change failed. THREE attempts were spent on the symptom - two CSS theories about which ancestor was capturing the percentages, then the svg rewrite - because the numbers were never read. Both readers were inline copies of the same mapping carrying "as unknown as PainPoint[]", and that cast is what kept the compiler quiet. There is now one exported toPainPoint(), beside the COORD_SCALE constant it divides by, and both readers call it. LESSON: when a value renders in the wrong PLACE, print the value before theorising about the layout. A unit written on one side of a boundary and assumed on the other is not a convention. VERIFIED 2026-09-03 on the homepage demo map: with the divide-by-ten in place the wrist marker lands on the wrist and the knee marker on the knee.</t>
  </si>
  <si>
    <t xml:space="preserve">B126</t>
  </si>
  <si>
    <t xml:space="preserve">styles.scss .halo vs shared/body-map svg circle</t>
  </si>
  <si>
    <t xml:space="preserve">The pain marker halo floated half a figure up and to the left of its own numbered dot - a tan dashed blob beside the head while the dot sat correctly on the wrist. The svg circle was given class="halo" so the pages that hid halos in thumbnails would keep working, and styles.scss still carried the DOM-era ".halo { position: absolute; transform: translate(-50%, -50%) }". position is meaningless inside an svg, but transform is NOT: on an svg element those percentages resolve against the VIEWPORT, so the circle was displaced by half of 300x640.</t>
  </si>
  <si>
    <t xml:space="preserve">Found immediately after B125 from Liodoq screenshots of the homepage demo map, which also CONFIRMED B125 - the wrist badge was on the wrist and the knee badge on the knee. Renamed to .mhalo; the dead global .halo rules and the four per-page "::ng-deep .halo { display: none }" overrides are deleted, since the component hides its own halo on read-only figures now. Same family as B96/B108/B111: a class name that already meant something somewhere else. Reusing the old name to keep old overrides working was the mistake - it inherited a rule written for a different layout model. BUILT 2026-09-03 (docker compose up --build + n8n Code node re-paste). Behaviour not re-tested after the build - verify next session.</t>
  </si>
  <si>
    <t xml:space="preserve">B127</t>
  </si>
  <si>
    <t xml:space="preserve">n8n prompt - the assistant offering a different duration</t>
  </si>
  <si>
    <t xml:space="preserve">In the 2026-09-05 voice test the assistant offered "Signature Massage (60 minutes)" twice, and when the client asked for a different day and time it answered "Yes, we have a Signature Massage, 90 minutes, available on Tuesday, September 8th" - switching to a different service without being asked and without saying it had. The client booked the 90.</t>
  </si>
  <si>
    <t xml:space="preserve">OBSERVED, NOT YET DIAGNOSED - it may be correct behaviour badly worded. If only the 90 was open at that hour then offering it is right; what is missing is the sentence saying so. Check whether the 60 was genuinely unavailable at Tue 8 Sep 3:30 PM before treating this as a defect. If it was available, the assistant changed the client's order, which is a different and more serious thing. The duration IS stated in the reply, so nobody was misled about what they booked.</t>
  </si>
  <si>
    <t xml:space="preserve">B128</t>
  </si>
  <si>
    <t xml:space="preserve">AssistantServiceImpl.bookableSlots / the OPEN TIMES panel</t>
  </si>
  <si>
    <t xml:space="preserve">Every day chip read "2 times" - 9:00 AM and mid-afternoon - for a treatment whose real calendar holds twenty-odd openings a day. bookableSlots gives the FOCUSED treatment its whole calendar and every other treatment a cheap two-a-day sample. The browser draws the panel from that same list and focuses whichever treatment the REPLY named, so a client who TYPED or SPOKE the treatment name (rather than tapping a chip, which sends the focus with the message) always saw the sample. The times existed; the client was never shown them. Same false answer as B89, by a different route. The voice path can only type, so it always hit this.</t>
  </si>
  <si>
    <t xml:space="preserve">Fixed (VERIFIED LIVE)</t>
  </si>
  <si>
    <t xml:space="preserve">Fixed 2026-09-11 with refocus() on the main ChatResponse return - recomputes the calendar for the treatment the reply settled on. One extra availability query and, because it runs AFTER the model call, zero extra tokens. Deliberately NOT applied to the hold-recovery return: the focused calendar is capped at 140 from the start of the window while the sample deliberately reaches day 7, so refocusing there could drop the very slot being confirmed. VERIFIED on AWS 2026-09-12: day chips read 18/27/27/14 times.</t>
  </si>
  <si>
    <t xml:space="preserve">B129</t>
  </si>
  <si>
    <t xml:space="preserve">n8n Shape reply Code node + hilotspa-chat.workflow.json</t>
  </si>
  <si>
    <t xml:space="preserve">The client saw - and the text-to-speech READ ALOUD - the raw envelope: ...90 minutes?","book":false,"slotId":null,"serviceId":null}. The agent returned its JSON with the opening {"reply":" already stripped, so indexOf("{") was -1, JSON.parse failed, and the node handed the raw text straight through. The fix for exactly this (salvageReply, which cuts the sentence where the envelope resumes and returns NOTHING rather than debris) had been written into chat-shape-reply.js and NEVER PASTED INTO N8N.</t>
  </si>
  <si>
    <t xml:space="preserve">Found 2026-09-11 by diffing every Code node against its repo file: Build context matched exactly, Shape reply was 2,703 chars against 4,421 on disk. Worse, the 2026-09-05 re-export (task 0.16) had exported the STALE node, so the committed workflow JSON carried the bug too and re-importing would not have helped. Both Code nodes in the JSON are now byte-identical to their .js files. LESSON: a repo file and a running node are two different things, and an export captures the running one.</t>
  </si>
  <si>
    <t xml:space="preserve">B130</t>
  </si>
  <si>
    <t xml:space="preserve">AssistantServiceImpl.myBookingSummaries + prompt rule 14</t>
  </si>
  <si>
    <t xml:space="preserve">Asked "what are my bookings", the assistant transcribed the internal MY BOOKINGS block verbatim: markdown * bullets that nothing renders and the TTS speaks as noise, raw enum values CONFIRMED and NO_SHOW, and every visit back to six days earlier all described as "current". On the 9th exactly one visit was still upcoming. Rule 14 said WHERE to answer from and never HOW, so the model did the literal thing.</t>
  </si>
  <si>
    <t xml:space="preserve">Fixed (prompt half verified live)</t>
  </si>
  <si>
    <t xml:space="preserve">Fixed 2026-09-11 in two places. Java: myBookingSummaries splits still-to-come from already-happened, sorts soonest first, caps at six, and runs the status through sayStatus() so a client hears "missed" rather than "NO_SHOW" - the reply is read out loud, and NO_SHOW is a database column value, not a word to say to a person. Prompt: rule 14a (read the list, never recite it; one or two sentences; the labels are for the agent) and 14b (no asterisks, bullets, numbering or headings, in either language). Prompt half verified on AWS 2026-09-12 - the reply named the existing booking in prose with no markup.</t>
  </si>
  <si>
    <t xml:space="preserve">B131</t>
  </si>
  <si>
    <t xml:space="preserve">Seven controllers @CrossOrigin + SecurityConfig CorsConfigurationSource</t>
  </si>
  <si>
    <t xml:space="preserve">The first login from the deployed site returned 403, not 401 - the request was refused before the password was ever read. Two independent causes, both hardcoding the dev origin. (1) .env still said FRONTEND_ORIGIN=http://localhost:4200, which SecurityConfig feeds to setAllowedOrigins; there is no AuthController among the annotated classes so login goes through that bean, and this alone was the 403. (2) B31, open since Session 3: seven controllers carrying @CrossOrigin(origins="http://localhost:4200"), so fixing only the .env would have let the client log in and then failed on the very next request.</t>
  </si>
  <si>
    <t xml:space="preserve">Proved 2026-09-11 with two curls from inside the server, bypassing Caddy: no-origin 200, with-origin 403. Browsers send Origin on POST EVEN SAME-ORIGIN, so this could never appear under ng serve where the allowed origin and the real origin happened to be the same string. Fixed by setting the real origin and deleting all seven annotations plus their imports, leaving the bean as the single source of truth. AssistantController already carried a comment saying precisely this. WORTH A PAPER LINE: the annotation and the bean were two expressions of one policy and they agreed exactly until the first real deployment, which is the only event that could ever have told them apart.</t>
  </si>
  <si>
    <t xml:space="preserve">B132</t>
  </si>
  <si>
    <t xml:space="preserve">pages/book/book.ts confirmSlot + the send() tail</t>
  </si>
  <si>
    <t xml:space="preserve">A hold the assistant settled in prose is sometimes discarded, leaving the client told a time is held with no button anywhere to take it. confirmSlot opens with "if (!id || this.confirming() || this.thinking()) return;" - a SILENT return, no message and no card - and send() clears pendingOpen immediately BEFORE calling it, so the slot is gone. Hard to hit while typing (one turn at a time); on the voice path SpeechRecognition can deliver a final result and fire send() while the previous turn is still settling. Reported as "it only changes if I say I confirm the booking", i.e. failure depends on HOW it was said rather than WHAT was said.</t>
  </si>
  <si>
    <t xml:space="preserve">Open (diagnosed, not reproduced under observation)</t>
  </si>
  <si>
    <t xml:space="preserve">Found 2026-09-12 by reading the code after a wrong first hypothesis (that send() cleared picked - it does not; picked is cleared in only six places, none of them in send). NOT YET CONFIRMED: the deciding observation is whether the READY TO BOOK card appears at all after a spoken "I confirm", or appears and then vanishes. Those have different causes. Proposed fix regardless: confirmSlot should report whether it opened, send() should keep pendingOpen when it did not, and a no-op on the one control that books a visit must never be silent. Workaround for the demo: typing "I confirm the booking" reliably produces the card.</t>
  </si>
  <si>
    <t xml:space="preserve">B133</t>
  </si>
  <si>
    <t xml:space="preserve">pages/service-detail book() + core/catalogue.store.ts load()</t>
  </si>
  <si>
    <t xml:space="preserve">A client who registered, was signed in, and tapped "Book this" was sent to the REGISTER page. book() asked cat.anonymous() - which describes how the MENU was fetched, not who is reading it. Underneath: load() returns early while loaded() is true, and loadPublic() sets loaded=true, so once a visitor has browsed the menu the token is never consulted again for the rest of the session. force and clear() were both written for exactly this case and neither was ever called by anything. The button was the mild half: a signed-in client kept being served the PUBLIC menu, whose entries all carry suitable=true because nothing was judged - while the service page tells them it "says plainly whether this treatment is advised for you". A claim about a judgement that was never made, which is the B91 class of untruth the store's own comment warns about.</t>
  </si>
  <si>
    <t xml:space="preserve">Found 2026-09-15 by a real client (Keneth) on the LIVE site, on the primary path, within five minutes - a defect neither Liodoq nor Claude hit in a week, because both had accounts with demographics already cached. This is the argument for task 4.5 in miniature. Fixed in two places: book() now asks auth.token(); CatalogueStore gained a constructor effect that clears the cache whenever the token changes (invalidate only, never re-fetch - every screen calls load() on init and an effect firing requests on a token change becomes a mystery double-load later). LESSON, general: a cached view of the world must be invalidated when identity changes, or every "is this suitable for you?" on screen is about a different person than the one reading it.</t>
  </si>
  <si>
    <t xml:space="preserve">HilotSpa — Defense Risk Register</t>
  </si>
  <si>
    <t xml:space="preserve">The paper cannot be edited. These are the contradictions a panelist may find, and how the BUILD resolves each one.</t>
  </si>
  <si>
    <t xml:space="preserve">Area</t>
  </si>
  <si>
    <t xml:space="preserve">Risk / Contradiction in the frozen paper</t>
  </si>
  <si>
    <t xml:space="preserve">Engineered resolution</t>
  </si>
  <si>
    <t xml:space="preserve">Where it lands</t>
  </si>
  <si>
    <t xml:space="preserve">R1</t>
  </si>
  <si>
    <t xml:space="preserve">Architecture</t>
  </si>
  <si>
    <t xml:space="preserve">Offline survival (NFR#1) and guaranteed no double-booking (Process Rule #4) are contradictory under CAP.</t>
  </si>
  <si>
    <t xml:space="preserve">Partition write authority by physical resource ownership. A therapist/room belongs to exactly one branch, so cross-branch conflict cannot exist. Each node is sole writer for its own resources; peers hold read-only replicas.</t>
  </si>
  <si>
    <t xml:space="preserve">Sprint 3.4</t>
  </si>
  <si>
    <t xml:space="preserve">R2</t>
  </si>
  <si>
    <t xml:space="preserve">Requirements</t>
  </si>
  <si>
    <t xml:space="preserve">Process Rule #2 locks the chatbot until pre-assessment completes, but Significance promises leisure clients can bypass the forms.</t>
  </si>
  <si>
    <t xml:space="preserve">First screen forks: 'I have pain' vs 'I'm here to relax'. The leisure path still WRITES a completed assessment record in one tap. The gate is on completion, not length.</t>
  </si>
  <si>
    <t xml:space="preserve">Sprint 1.4</t>
  </si>
  <si>
    <t xml:space="preserve">Resolved</t>
  </si>
  <si>
    <t xml:space="preserve">R3</t>
  </si>
  <si>
    <t xml:space="preserve">AI Integrity</t>
  </si>
  <si>
    <t xml:space="preserve">Paper claims n8n is a 'strict filtering layer' preventing hallucinated medical advice. n8n is an orchestrator and does no such thing by itself.</t>
  </si>
  <si>
    <t xml:space="preserve">Give n8n three concrete jobs: (1) assemble prompt from DB only, (2) constrained structured output where serviceId is an enum of real catalog IDs, (3) post-validate against the catalog and reject anything else. VERIFIED LIVE: n8n drops any serviceId Spring did not send, then Java re-validates independently. rejectedCount is written to audit_log per call, so the discard rate is a query rather than a claim.</t>
  </si>
  <si>
    <t xml:space="preserve">Sprint 2.3</t>
  </si>
  <si>
    <t xml:space="preserve">R4</t>
  </si>
  <si>
    <t xml:space="preserve">Ethics / Scope</t>
  </si>
  <si>
    <t xml:space="preserve">Process Rule #3 excludes contraindicated services, but the Delimitation says no medical advice. Excluding a service on health grounds IS a clinical decision.</t>
  </si>
  <si>
    <t xml:space="preserve">Contraindication rules authored and signed off by the spa's bone setter, stored in a DB table, applied in Java BEFORE the AI is called. Put the signed table in the appendix.</t>
  </si>
  <si>
    <t xml:space="preserve">Sprint 2.4</t>
  </si>
  <si>
    <t xml:space="preserve">R5</t>
  </si>
  <si>
    <t xml:space="preserve">Evaluation</t>
  </si>
  <si>
    <t xml:space="preserve">Research locale names only one branch, but the decentralization claim needs at least two nodes.</t>
  </si>
  <si>
    <t xml:space="preserve">Run a second node on a laptop or VM on the same LAN. Demo sync by physically unplugging the network. Rehearse it.</t>
  </si>
  <si>
    <t xml:space="preserve">Sprint 3.10</t>
  </si>
  <si>
    <t xml:space="preserve">R6</t>
  </si>
  <si>
    <t xml:space="preserve">Objective 4 says evaluate 'AI reliability', but CUQ measures perceived usability, not reliability.</t>
  </si>
  <si>
    <t xml:space="preserve">Add an objective measure to the Technical &amp; Operational Checklist: agreement rate between the AI recommendation and a therapist's blind independent recommendation over &gt;=30 trials, plus 0 out-of-catalog outputs.</t>
  </si>
  <si>
    <t xml:space="preserve">Sprint 4.4</t>
  </si>
  <si>
    <t xml:space="preserve">R7</t>
  </si>
  <si>
    <t xml:space="preserve">Scope</t>
  </si>
  <si>
    <t xml:space="preserve">Significance promises owners can monitor revenue, but the Delimitation excludes payment processing.</t>
  </si>
  <si>
    <t xml:space="preserve">Appointment snapshots the service price at booking. Staff mark PAID_AT_COUNTER. Revenue = sum of completed appointments. No payment processing involved.</t>
  </si>
  <si>
    <t xml:space="preserve">Sprint 0.5</t>
  </si>
  <si>
    <t xml:space="preserve">R8</t>
  </si>
  <si>
    <t xml:space="preserve">Presentation</t>
  </si>
  <si>
    <t xml:space="preserve">Figures 8.1 and 8.2 are both captioned 'Sprint 2'. Two tables are both numbered as Gap Analysis but the TOC lists one. References [12] and [34] are the same paper.</t>
  </si>
  <si>
    <t xml:space="preserve">Cosmetic. Fix if the adviser still permits caption-level edits; otherwise be ready to acknowledge it.</t>
  </si>
  <si>
    <t xml:space="preserve">Paper</t>
  </si>
  <si>
    <t xml:space="preserve">R9</t>
  </si>
  <si>
    <t xml:space="preserve">Appendix A has two halves. The bottom half is the bone setter own working sheet - spine chart C1-L5, the ADJUSTMENTS grid, the findings table. None of it is digitised, and a panelist who has seen the form will ask where it went.</t>
  </si>
  <si>
    <t xml:space="preserve">State the boundary explicitly: the system digitises the client-completed portion. S4 covers the findings table and BEFORE/AFTER pain; the adjustment record stays on paper for this study.</t>
  </si>
  <si>
    <t xml:space="preserve">Paper Ch.3 + S4</t>
  </si>
  <si>
    <t xml:space="preserve">R10</t>
  </si>
  <si>
    <t xml:space="preserve">The establishment trades as Knead Wellness Spa. The paper, the signed permission letter, and the running UI each use a different name.</t>
  </si>
  <si>
    <t xml:space="preserve">Adviser picks one convention. Safer option: registered name with a parenthetical on first mention.</t>
  </si>
  <si>
    <t xml:space="preserve">Paper SS A3</t>
  </si>
  <si>
    <t xml:space="preserve">R11</t>
  </si>
  <si>
    <t xml:space="preserve">Ethics</t>
  </si>
  <si>
    <t xml:space="preserve">A researcher shares a surname with the owners. Undisclosed, this looks like concealment; disclosed, it is routine.</t>
  </si>
  <si>
    <t xml:space="preserve">One sentence in the Research Locale section, plus the bias controls already in place (clock-time-only observation, practitioner-signed protocol).</t>
  </si>
  <si>
    <t xml:space="preserve">Paper SS A4</t>
  </si>
  <si>
    <t xml:space="preserve">R12</t>
  </si>
  <si>
    <t xml:space="preserve">Schema is built by ddl-auto=update. On a decentralised system each branch runs its own Postgres, and "Hibernate will work it out on each node" is not a migration strategy.</t>
  </si>
  <si>
    <t xml:space="preserve">Flyway baseline migration before any second node exists. | RESOLVED 2026-08-30: V1 is a pg_dump baseline, V2 the exclusion constraints, and Hibernate moved to ddl-auto=validate - it verifies the schema rather than reshaping it, and passed against the live database first try, which also proves the baseline is accurate. B98 (2026-09-01) showed the remaining exposure is human, not architectural: an UNTRACKED migration means a clean clone fails validation and the backend will not start.</t>
  </si>
  <si>
    <t xml:space="preserve">Sprint 0.7</t>
  </si>
  <si>
    <t xml:space="preserve">R13</t>
  </si>
  <si>
    <t xml:space="preserve">The pre-implementation baseline still has not been collected, and the digital intake now works. Once it is in use at the counter the manual process cannot be observed.</t>
  </si>
  <si>
    <t xml:space="preserve">Do the timing study before deployment, or state honestly in Ch.4 that the 10-15 minute figure is borrowed from literature.</t>
  </si>
  <si>
    <t xml:space="preserve">Sprint 4.1</t>
  </si>
  <si>
    <t xml:space="preserve">R14</t>
  </si>
  <si>
    <t xml:space="preserve">Service detail pages are a 23rd screen. The paper inventory names 22, derived from Figures 2 and 3.1-3.3.</t>
  </si>
  <si>
    <t xml:space="preserve">Either add it as C8a with a one-line justification, or fold the detail view into C8 as an expanding panel so the count holds.</t>
  </si>
  <si>
    <t xml:space="preserve">Paper Ch.3</t>
  </si>
  <si>
    <t xml:space="preserve">R15</t>
  </si>
  <si>
    <t xml:space="preserve">AI reliability</t>
  </si>
  <si>
    <t xml:space="preserve">The conversational assistant returns free text. Unlike the recommendation path, a reply cannot be structurally validated - there is no id to check against an allow-list.</t>
  </si>
  <si>
    <t xml:space="preserve">Mitigations are stated openly instead of hidden: a constrained system prompt built from DB values only, NO tools attached to the agent, no write access of any kind, and a fixed refusal script for red-flag symptoms. Backed by the Sprint 2.15 adversarial test screenshots.</t>
  </si>
  <si>
    <t xml:space="preserve">Sprint 2.13</t>
  </si>
  <si>
    <t xml:space="preserve">R16</t>
  </si>
  <si>
    <t xml:space="preserve">Data privacy</t>
  </si>
  <si>
    <t xml:space="preserve">Sending a named client's pain map, pain scores and medical history to an LLM tier whose terms permit human review and training would contradict the consent form and the Data Privacy Act of 2012.</t>
  </si>
  <si>
    <t xml:space="preserve">Vertex AI on Google Cloud terms instead of the AI Studio free tier: not used for training, no human review, region pinned to asia-southeast1. Cite the data-governance page in Ch.3.</t>
  </si>
  <si>
    <t xml:space="preserve">Sprint 2.14</t>
  </si>
  <si>
    <t xml:space="preserve">R17</t>
  </si>
  <si>
    <t xml:space="preserve">AI safety</t>
  </si>
  <si>
    <t xml:space="preserve">An assistant that can book is an assistant that can double-book, invent a time, or treat its own suggestion as the client's agreement. A model cannot hold a database lock, so Process Rule #4 cannot be enforced anywhere the model writes.</t>
  </si>
  <si>
    <t xml:space="preserve">The model only ever proposes, and only from a closed slot list Spring computed. Every slotId is validated against that list; an unknown one drops the proposal AND the sentence that described it. The write happens in Spring inside a transaction that re-checks availability. As of 2026-08-26 there is also a confirm path that does not touch the model at all: the client taps a time and Spring books it by id. The conversational route still works and is still what the paper describes - it is simply no longer the only way to finish.</t>
  </si>
  <si>
    <t xml:space="preserve">Sprint 2.18-2.21, 2.30</t>
  </si>
  <si>
    <t xml:space="preserve">R18</t>
  </si>
  <si>
    <t xml:space="preserve">AI safety / SS D3</t>
  </si>
  <si>
    <t xml:space="preserve">The contraindication filter currently excludes NOTHING. There are zero CONTRAINDICATED rows, so every screen honestly reports 10 of 10 services allowed and 0 excluded. A panellist watching the SS D3 demonstration sees a safety layer that lets everything through.</t>
  </si>
  <si>
    <t xml:space="preserve">The mechanism is built, tested and visible - what is missing is the clinical content, which only the practitioner can author. Thirty minutes with him, using the CSV that Admin &gt; Config exports, turns "the filter works" into "the filter works and here is what it stopped". Until then, say plainly that the rules are pending sign-off rather than demonstrating an empty filter.</t>
  </si>
  <si>
    <t xml:space="preserve">Sprint 4.13</t>
  </si>
  <si>
    <t xml:space="preserve">R19</t>
  </si>
  <si>
    <t xml:space="preserve">Architecture / Evaluation</t>
  </si>
  <si>
    <t xml:space="preserve">Sprint 3 runtime is at 0% with approval a week away. There will be no sync log, node registry, gossip or second node, and a mocked one is worse than none.</t>
  </si>
  <si>
    <t xml:space="preserve">Defend what is already true and already enforced: a therapist and a room belong to exactly one branch, therefore only that branch can book them, therefore two nodes can never award the same slot - no consensus algorithm is required. Decentralisation is presented as a proven design property with the multi-node runtime as future work. Needs the adviser to agree BEFORE the defence, not during it.</t>
  </si>
  <si>
    <t xml:space="preserve">Sprint 3.15</t>
  </si>
  <si>
    <t xml:space="preserve">R20</t>
  </si>
  <si>
    <t xml:space="preserve">The outcome loop now WORKS but has produced no data. painScoreAfter can only be written after a human closes off a real visit, and no real visit has been closed off. Chapter IV's before/after claim currently rests on a mechanism with zero rows behind it - the same shape of problem as R18, one layer further out.</t>
  </si>
  <si>
    <t xml:space="preserve">Two moves, and the first is free. (1) Close off the test bookings already sitting unanswered in the database - the new S2 calendar finds them - so the screens and the report have real rows in them at the demo. (2) Get one real visit closed off and re-scored at the spa before the defence; one honest pair beats a hundred seeded ones, and the mechanism is small enough to walk a staff member through in five minutes.</t>
  </si>
  <si>
    <t xml:space="preserve">Sprint 2.46 / 4.5</t>
  </si>
</sst>
</file>

<file path=xl/styles.xml><?xml version="1.0" encoding="utf-8"?>
<styleSheet xmlns="http://schemas.openxmlformats.org/spreadsheetml/2006/main">
  <numFmts count="3">
    <numFmt numFmtId="164" formatCode="General"/>
    <numFmt numFmtId="165" formatCode="General"/>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4"/>
      <color rgb="FF1F4E5F"/>
      <name val="Arial"/>
      <family val="0"/>
      <charset val="1"/>
    </font>
    <font>
      <i val="true"/>
      <sz val="9"/>
      <color rgb="FF666666"/>
      <name val="Arial"/>
      <family val="0"/>
      <charset val="1"/>
    </font>
    <font>
      <b val="true"/>
      <sz val="11"/>
      <color rgb="FFFFFFFF"/>
      <name val="Arial"/>
      <family val="0"/>
      <charset val="1"/>
    </font>
    <font>
      <b val="true"/>
      <sz val="10"/>
      <name val="Arial"/>
      <family val="0"/>
      <charset val="1"/>
    </font>
    <font>
      <sz val="10"/>
      <name val="Arial"/>
      <family val="0"/>
      <charset val="1"/>
    </font>
  </fonts>
  <fills count="4">
    <fill>
      <patternFill patternType="none"/>
    </fill>
    <fill>
      <patternFill patternType="gray125"/>
    </fill>
    <fill>
      <patternFill patternType="solid">
        <fgColor rgb="FF1F4E5F"/>
        <bgColor rgb="FF333333"/>
      </patternFill>
    </fill>
    <fill>
      <patternFill patternType="solid">
        <fgColor rgb="FFDCE9EF"/>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6" fontId="7" fillId="3"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4E5F"/>
          <bgColor rgb="FF000000"/>
        </patternFill>
      </fill>
    </dxf>
    <dxf>
      <fill>
        <patternFill patternType="solid">
          <fgColor rgb="FFDCE9EF"/>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6500"/>
          <bgColor rgb="FF000000"/>
        </patternFill>
      </fill>
    </dxf>
    <dxf>
      <font>
        <name val="Arial"/>
        <charset val="1"/>
        <family val="0"/>
        <color rgb="FF006100"/>
        <sz val="10"/>
      </font>
      <fill>
        <patternFill>
          <bgColor rgb="FFC6EFCE"/>
        </patternFill>
      </fill>
    </dxf>
    <dxf>
      <font>
        <name val="Arial"/>
        <charset val="1"/>
        <family val="0"/>
        <color rgb="FF9C6500"/>
        <sz val="10"/>
      </font>
      <fill>
        <patternFill>
          <bgColor rgb="FFFFEB9C"/>
        </patternFill>
      </fill>
    </dxf>
    <dxf>
      <font>
        <name val="Arial"/>
        <charset val="1"/>
        <family val="0"/>
        <color rgb="FF9C0006"/>
        <sz val="10"/>
      </font>
      <fill>
        <patternFill>
          <bgColor rgb="FFFFC7CE"/>
        </patternFill>
      </fill>
    </dxf>
    <dxf>
      <fill>
        <patternFill patternType="solid">
          <fgColor rgb="FFFFC7CE"/>
          <bgColor rgb="FF000000"/>
        </patternFill>
      </fill>
    </dxf>
    <dxf>
      <fill>
        <patternFill patternType="solid">
          <fgColor rgb="FF9C0006"/>
          <bgColor rgb="FF000000"/>
        </patternFill>
      </fill>
    </dxf>
    <dxf>
      <font>
        <name val="Arial"/>
        <charset val="1"/>
        <family val="0"/>
        <b val="1"/>
        <color rgb="FF9C0006"/>
        <sz val="10"/>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FFFCC"/>
      <rgbColor rgb="FFDCE9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66"/>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7" min="2" style="1" width="14"/>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c r="D4" s="4" t="s">
        <v>5</v>
      </c>
      <c r="E4" s="4" t="s">
        <v>6</v>
      </c>
      <c r="F4" s="4" t="s">
        <v>7</v>
      </c>
      <c r="G4" s="4" t="s">
        <v>8</v>
      </c>
    </row>
    <row r="5" customFormat="false" ht="15" hidden="false" customHeight="true" outlineLevel="0" collapsed="false">
      <c r="A5" s="5" t="s">
        <v>9</v>
      </c>
      <c r="B5" s="6" t="n">
        <f aca="false">COUNTIF(Tasks!$A$5:$A$400,$A5)</f>
        <v>30</v>
      </c>
      <c r="C5" s="6" t="n">
        <f aca="false">COUNTIFS(Tasks!$A$5:$A$400,$A5,Tasks!$E$5:$E$400,"Done")</f>
        <v>25</v>
      </c>
      <c r="D5" s="6" t="n">
        <f aca="false">COUNTIFS(Tasks!$A$5:$A$400,$A5,Tasks!$E$5:$E$400,"In Progress")</f>
        <v>0</v>
      </c>
      <c r="E5" s="6" t="n">
        <f aca="false">COUNTIFS(Tasks!$A$5:$A$400,$A5,Tasks!$E$5:$E$400,"Not Started")</f>
        <v>5</v>
      </c>
      <c r="F5" s="6" t="n">
        <f aca="false">COUNTIFS(Tasks!$A$5:$A$400,$A5,Tasks!$E$5:$E$400,"Blocked")</f>
        <v>0</v>
      </c>
      <c r="G5" s="7" t="n">
        <f aca="false">IFERROR($C5/$B5,0)</f>
        <v>0.833333333333333</v>
      </c>
    </row>
    <row r="6" customFormat="false" ht="15" hidden="false" customHeight="true" outlineLevel="0" collapsed="false">
      <c r="A6" s="5" t="s">
        <v>10</v>
      </c>
      <c r="B6" s="6" t="n">
        <f aca="false">COUNTIF(Tasks!$A$5:$A$400,$A6)</f>
        <v>24</v>
      </c>
      <c r="C6" s="6" t="n">
        <f aca="false">COUNTIFS(Tasks!$A$5:$A$400,$A6,Tasks!$E$5:$E$400,"Done")</f>
        <v>23</v>
      </c>
      <c r="D6" s="6" t="n">
        <f aca="false">COUNTIFS(Tasks!$A$5:$A$400,$A6,Tasks!$E$5:$E$400,"In Progress")</f>
        <v>1</v>
      </c>
      <c r="E6" s="6" t="n">
        <f aca="false">COUNTIFS(Tasks!$A$5:$A$400,$A6,Tasks!$E$5:$E$400,"Not Started")</f>
        <v>0</v>
      </c>
      <c r="F6" s="6" t="n">
        <f aca="false">COUNTIFS(Tasks!$A$5:$A$400,$A6,Tasks!$E$5:$E$400,"Blocked")</f>
        <v>0</v>
      </c>
      <c r="G6" s="7" t="n">
        <f aca="false">IFERROR($C6/$B6,0)</f>
        <v>0.958333333333333</v>
      </c>
    </row>
    <row r="7" customFormat="false" ht="15" hidden="false" customHeight="true" outlineLevel="0" collapsed="false">
      <c r="A7" s="5" t="s">
        <v>11</v>
      </c>
      <c r="B7" s="6" t="n">
        <f aca="false">COUNTIF(Tasks!$A$5:$A$400,$A7)</f>
        <v>48</v>
      </c>
      <c r="C7" s="6" t="n">
        <f aca="false">COUNTIFS(Tasks!$A$5:$A$400,$A7,Tasks!$E$5:$E$400,"Done")</f>
        <v>46</v>
      </c>
      <c r="D7" s="6" t="n">
        <f aca="false">COUNTIFS(Tasks!$A$5:$A$400,$A7,Tasks!$E$5:$E$400,"In Progress")</f>
        <v>1</v>
      </c>
      <c r="E7" s="6" t="n">
        <f aca="false">COUNTIFS(Tasks!$A$5:$A$400,$A7,Tasks!$E$5:$E$400,"Not Started")</f>
        <v>0</v>
      </c>
      <c r="F7" s="6" t="n">
        <f aca="false">COUNTIFS(Tasks!$A$5:$A$400,$A7,Tasks!$E$5:$E$400,"Blocked")</f>
        <v>0</v>
      </c>
      <c r="G7" s="7" t="n">
        <f aca="false">IFERROR($C7/$B7,0)</f>
        <v>0.958333333333333</v>
      </c>
    </row>
    <row r="8" customFormat="false" ht="15" hidden="false" customHeight="true" outlineLevel="0" collapsed="false">
      <c r="A8" s="5" t="s">
        <v>12</v>
      </c>
      <c r="B8" s="6" t="n">
        <f aca="false">COUNTIF(Tasks!$A$5:$A$400,$A8)</f>
        <v>18</v>
      </c>
      <c r="C8" s="6" t="n">
        <f aca="false">COUNTIFS(Tasks!$A$5:$A$400,$A8,Tasks!$E$5:$E$400,"Done")</f>
        <v>6</v>
      </c>
      <c r="D8" s="6" t="n">
        <f aca="false">COUNTIFS(Tasks!$A$5:$A$400,$A8,Tasks!$E$5:$E$400,"In Progress")</f>
        <v>6</v>
      </c>
      <c r="E8" s="6" t="n">
        <f aca="false">COUNTIFS(Tasks!$A$5:$A$400,$A8,Tasks!$E$5:$E$400,"Not Started")</f>
        <v>6</v>
      </c>
      <c r="F8" s="6" t="n">
        <f aca="false">COUNTIFS(Tasks!$A$5:$A$400,$A8,Tasks!$E$5:$E$400,"Blocked")</f>
        <v>0</v>
      </c>
      <c r="G8" s="7" t="n">
        <f aca="false">IFERROR($C8/$B8,0)</f>
        <v>0.333333333333333</v>
      </c>
    </row>
    <row r="9" customFormat="false" ht="15" hidden="false" customHeight="true" outlineLevel="0" collapsed="false">
      <c r="A9" s="5" t="s">
        <v>13</v>
      </c>
      <c r="B9" s="6" t="n">
        <f aca="false">COUNTIF(Tasks!$A$5:$A$400,$A9)</f>
        <v>16</v>
      </c>
      <c r="C9" s="6" t="n">
        <f aca="false">COUNTIFS(Tasks!$A$5:$A$400,$A9,Tasks!$E$5:$E$400,"Done")</f>
        <v>1</v>
      </c>
      <c r="D9" s="6" t="n">
        <f aca="false">COUNTIFS(Tasks!$A$5:$A$400,$A9,Tasks!$E$5:$E$400,"In Progress")</f>
        <v>1</v>
      </c>
      <c r="E9" s="6" t="n">
        <f aca="false">COUNTIFS(Tasks!$A$5:$A$400,$A9,Tasks!$E$5:$E$400,"Not Started")</f>
        <v>14</v>
      </c>
      <c r="F9" s="6" t="n">
        <f aca="false">COUNTIFS(Tasks!$A$5:$A$400,$A9,Tasks!$E$5:$E$400,"Blocked")</f>
        <v>0</v>
      </c>
      <c r="G9" s="7" t="n">
        <f aca="false">IFERROR($C9/$B9,0)</f>
        <v>0.0625</v>
      </c>
    </row>
    <row r="10" customFormat="false" ht="15" hidden="false" customHeight="true" outlineLevel="0" collapsed="false">
      <c r="A10" s="8" t="s">
        <v>14</v>
      </c>
      <c r="B10" s="9" t="n">
        <f aca="false">SUM(B5:B9)</f>
        <v>136</v>
      </c>
      <c r="C10" s="9" t="n">
        <f aca="false">SUM(C5:C9)</f>
        <v>101</v>
      </c>
      <c r="D10" s="9" t="n">
        <f aca="false">SUM(D5:D9)</f>
        <v>9</v>
      </c>
      <c r="E10" s="9" t="n">
        <f aca="false">SUM(E5:E9)</f>
        <v>25</v>
      </c>
      <c r="F10" s="9" t="n">
        <f aca="false">SUM(F5:F9)</f>
        <v>0</v>
      </c>
      <c r="G10" s="10" t="n">
        <f aca="false">IFERROR($C10/$B10,0)</f>
        <v>0.742647058823529</v>
      </c>
    </row>
    <row r="12" customFormat="false" ht="15" hidden="false" customHeight="true" outlineLevel="0" collapsed="false">
      <c r="A12" s="11" t="s">
        <v>15</v>
      </c>
      <c r="B12" s="12" t="n">
        <f aca="false">COUNTIF(Bugs!$F:$F,"Open")</f>
        <v>11</v>
      </c>
    </row>
    <row r="13" customFormat="false" ht="15" hidden="false" customHeight="true" outlineLevel="0" collapsed="false">
      <c r="A13" s="11" t="s">
        <v>16</v>
      </c>
      <c r="B13" s="12" t="n">
        <f aca="false">COUNTIFS(Bugs!$F:$F,"Open",Bugs!$E:$E,"Critical")</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7"/>
    <col collapsed="false" customWidth="true" hidden="false" outlineLevel="0" max="3" min="3" style="1" width="40"/>
    <col collapsed="false" customWidth="true" hidden="false" outlineLevel="0" max="4" min="4" style="1" width="62"/>
    <col collapsed="false" customWidth="true" hidden="false" outlineLevel="0" max="5" min="5" style="1" width="14"/>
    <col collapsed="false" customWidth="true" hidden="false" outlineLevel="0" max="6" min="6" style="1" width="10"/>
    <col collapsed="false" customWidth="true" hidden="false" outlineLevel="0" max="7" min="7" style="1" width="52"/>
  </cols>
  <sheetData>
    <row r="1" customFormat="false" ht="17.25" hidden="false" customHeight="true" outlineLevel="0" collapsed="false">
      <c r="A1" s="2" t="s">
        <v>17</v>
      </c>
    </row>
    <row r="2" customFormat="false" ht="15" hidden="false" customHeight="true" outlineLevel="0" collapsed="false">
      <c r="A2" s="3" t="s">
        <v>18</v>
      </c>
    </row>
    <row r="4" customFormat="false" ht="15" hidden="false" customHeight="true" outlineLevel="0" collapsed="false">
      <c r="A4" s="4" t="s">
        <v>2</v>
      </c>
      <c r="B4" s="4" t="s">
        <v>19</v>
      </c>
      <c r="C4" s="4" t="s">
        <v>20</v>
      </c>
      <c r="D4" s="4" t="s">
        <v>21</v>
      </c>
      <c r="E4" s="4" t="s">
        <v>22</v>
      </c>
      <c r="F4" s="4" t="s">
        <v>23</v>
      </c>
      <c r="G4" s="4" t="s">
        <v>24</v>
      </c>
    </row>
    <row r="5" customFormat="false" ht="23.25" hidden="false" customHeight="true" outlineLevel="0" collapsed="false">
      <c r="A5" s="9" t="s">
        <v>9</v>
      </c>
      <c r="B5" s="13" t="s">
        <v>25</v>
      </c>
      <c r="C5" s="14" t="s">
        <v>26</v>
      </c>
      <c r="D5" s="14" t="s">
        <v>27</v>
      </c>
      <c r="E5" s="13" t="s">
        <v>4</v>
      </c>
      <c r="F5" s="13" t="s">
        <v>28</v>
      </c>
      <c r="G5" s="14" t="s">
        <v>29</v>
      </c>
    </row>
    <row r="6" customFormat="false" ht="23.25" hidden="false" customHeight="true" outlineLevel="0" collapsed="false">
      <c r="A6" s="15" t="s">
        <v>9</v>
      </c>
      <c r="B6" s="6" t="s">
        <v>30</v>
      </c>
      <c r="C6" s="16" t="s">
        <v>31</v>
      </c>
      <c r="D6" s="16" t="s">
        <v>32</v>
      </c>
      <c r="E6" s="17" t="s">
        <v>4</v>
      </c>
      <c r="F6" s="6" t="s">
        <v>28</v>
      </c>
      <c r="G6" s="16" t="s">
        <v>33</v>
      </c>
    </row>
    <row r="7" customFormat="false" ht="23.25" hidden="false" customHeight="true" outlineLevel="0" collapsed="false">
      <c r="A7" s="15" t="s">
        <v>9</v>
      </c>
      <c r="B7" s="6" t="s">
        <v>34</v>
      </c>
      <c r="C7" s="16" t="s">
        <v>35</v>
      </c>
      <c r="D7" s="16" t="s">
        <v>36</v>
      </c>
      <c r="E7" s="17" t="s">
        <v>4</v>
      </c>
      <c r="F7" s="6" t="s">
        <v>37</v>
      </c>
      <c r="G7" s="16" t="s">
        <v>38</v>
      </c>
    </row>
    <row r="8" customFormat="false" ht="23.25" hidden="false" customHeight="true" outlineLevel="0" collapsed="false">
      <c r="A8" s="15" t="s">
        <v>9</v>
      </c>
      <c r="B8" s="6" t="s">
        <v>39</v>
      </c>
      <c r="C8" s="16" t="s">
        <v>40</v>
      </c>
      <c r="D8" s="16" t="s">
        <v>41</v>
      </c>
      <c r="E8" s="17" t="s">
        <v>4</v>
      </c>
      <c r="F8" s="6" t="s">
        <v>28</v>
      </c>
      <c r="G8" s="16" t="s">
        <v>42</v>
      </c>
    </row>
    <row r="9" customFormat="false" ht="15" hidden="false" customHeight="true" outlineLevel="0" collapsed="false">
      <c r="A9" s="15" t="s">
        <v>9</v>
      </c>
      <c r="B9" s="6" t="s">
        <v>43</v>
      </c>
      <c r="C9" s="16" t="s">
        <v>44</v>
      </c>
      <c r="D9" s="16" t="s">
        <v>45</v>
      </c>
      <c r="E9" s="17" t="s">
        <v>4</v>
      </c>
      <c r="F9" s="6" t="s">
        <v>28</v>
      </c>
      <c r="G9" s="16" t="s">
        <v>46</v>
      </c>
    </row>
    <row r="10" customFormat="false" ht="23.25" hidden="false" customHeight="true" outlineLevel="0" collapsed="false">
      <c r="A10" s="15" t="s">
        <v>9</v>
      </c>
      <c r="B10" s="6" t="s">
        <v>47</v>
      </c>
      <c r="C10" s="16" t="s">
        <v>48</v>
      </c>
      <c r="D10" s="16" t="s">
        <v>49</v>
      </c>
      <c r="E10" s="17" t="s">
        <v>4</v>
      </c>
      <c r="F10" s="6" t="s">
        <v>50</v>
      </c>
      <c r="G10" s="16" t="s">
        <v>51</v>
      </c>
    </row>
    <row r="11" customFormat="false" ht="23.25" hidden="false" customHeight="true" outlineLevel="0" collapsed="false">
      <c r="A11" s="15" t="s">
        <v>9</v>
      </c>
      <c r="B11" s="6" t="s">
        <v>52</v>
      </c>
      <c r="C11" s="16" t="s">
        <v>53</v>
      </c>
      <c r="D11" s="16" t="s">
        <v>54</v>
      </c>
      <c r="E11" s="17" t="s">
        <v>4</v>
      </c>
      <c r="F11" s="6" t="s">
        <v>37</v>
      </c>
      <c r="G11" s="16" t="s">
        <v>55</v>
      </c>
    </row>
    <row r="12" customFormat="false" ht="15" hidden="false" customHeight="true" outlineLevel="0" collapsed="false">
      <c r="A12" s="15" t="s">
        <v>9</v>
      </c>
      <c r="B12" s="6" t="s">
        <v>56</v>
      </c>
      <c r="C12" s="16" t="s">
        <v>57</v>
      </c>
      <c r="D12" s="16" t="s">
        <v>58</v>
      </c>
      <c r="E12" s="17" t="s">
        <v>4</v>
      </c>
      <c r="F12" s="6" t="s">
        <v>28</v>
      </c>
      <c r="G12" s="16" t="s">
        <v>59</v>
      </c>
    </row>
    <row r="13" customFormat="false" ht="23.25" hidden="false" customHeight="true" outlineLevel="0" collapsed="false">
      <c r="A13" s="9" t="s">
        <v>10</v>
      </c>
      <c r="B13" s="13" t="s">
        <v>60</v>
      </c>
      <c r="C13" s="14" t="s">
        <v>61</v>
      </c>
      <c r="D13" s="14" t="s">
        <v>62</v>
      </c>
      <c r="E13" s="13" t="s">
        <v>4</v>
      </c>
      <c r="F13" s="13"/>
      <c r="G13" s="14" t="s">
        <v>63</v>
      </c>
    </row>
    <row r="14" customFormat="false" ht="15" hidden="false" customHeight="true" outlineLevel="0" collapsed="false">
      <c r="A14" s="15" t="s">
        <v>10</v>
      </c>
      <c r="B14" s="6" t="s">
        <v>64</v>
      </c>
      <c r="C14" s="16" t="s">
        <v>65</v>
      </c>
      <c r="D14" s="16" t="s">
        <v>66</v>
      </c>
      <c r="E14" s="17" t="s">
        <v>4</v>
      </c>
      <c r="F14" s="6"/>
      <c r="G14" s="16" t="s">
        <v>67</v>
      </c>
    </row>
    <row r="15" customFormat="false" ht="23.25" hidden="false" customHeight="true" outlineLevel="0" collapsed="false">
      <c r="A15" s="15" t="s">
        <v>10</v>
      </c>
      <c r="B15" s="6" t="s">
        <v>68</v>
      </c>
      <c r="C15" s="16" t="s">
        <v>69</v>
      </c>
      <c r="D15" s="16" t="s">
        <v>70</v>
      </c>
      <c r="E15" s="17" t="s">
        <v>4</v>
      </c>
      <c r="F15" s="6"/>
      <c r="G15" s="16" t="s">
        <v>71</v>
      </c>
    </row>
    <row r="16" customFormat="false" ht="23.25" hidden="false" customHeight="true" outlineLevel="0" collapsed="false">
      <c r="A16" s="15" t="s">
        <v>10</v>
      </c>
      <c r="B16" s="6" t="s">
        <v>72</v>
      </c>
      <c r="C16" s="16" t="s">
        <v>73</v>
      </c>
      <c r="D16" s="16" t="s">
        <v>74</v>
      </c>
      <c r="E16" s="17" t="s">
        <v>4</v>
      </c>
      <c r="F16" s="6"/>
      <c r="G16" s="16" t="s">
        <v>75</v>
      </c>
    </row>
    <row r="17" customFormat="false" ht="23.25" hidden="false" customHeight="true" outlineLevel="0" collapsed="false">
      <c r="A17" s="15" t="s">
        <v>10</v>
      </c>
      <c r="B17" s="6" t="s">
        <v>76</v>
      </c>
      <c r="C17" s="16" t="s">
        <v>77</v>
      </c>
      <c r="D17" s="16" t="s">
        <v>78</v>
      </c>
      <c r="E17" s="17" t="s">
        <v>4</v>
      </c>
      <c r="F17" s="6"/>
      <c r="G17" s="16" t="s">
        <v>79</v>
      </c>
    </row>
    <row r="18" customFormat="false" ht="15" hidden="false" customHeight="true" outlineLevel="0" collapsed="false">
      <c r="A18" s="15" t="s">
        <v>10</v>
      </c>
      <c r="B18" s="6" t="s">
        <v>80</v>
      </c>
      <c r="C18" s="16" t="s">
        <v>81</v>
      </c>
      <c r="D18" s="16" t="s">
        <v>82</v>
      </c>
      <c r="E18" s="17" t="s">
        <v>4</v>
      </c>
      <c r="F18" s="6"/>
      <c r="G18" s="16" t="s">
        <v>83</v>
      </c>
    </row>
    <row r="19" customFormat="false" ht="15" hidden="false" customHeight="true" outlineLevel="0" collapsed="false">
      <c r="A19" s="15" t="s">
        <v>10</v>
      </c>
      <c r="B19" s="6" t="s">
        <v>84</v>
      </c>
      <c r="C19" s="16" t="s">
        <v>85</v>
      </c>
      <c r="D19" s="16" t="s">
        <v>86</v>
      </c>
      <c r="E19" s="17" t="s">
        <v>4</v>
      </c>
      <c r="F19" s="6"/>
      <c r="G19" s="16" t="s">
        <v>87</v>
      </c>
    </row>
    <row r="20" customFormat="false" ht="15" hidden="false" customHeight="true" outlineLevel="0" collapsed="false">
      <c r="A20" s="9" t="s">
        <v>11</v>
      </c>
      <c r="B20" s="13" t="s">
        <v>88</v>
      </c>
      <c r="C20" s="14" t="s">
        <v>89</v>
      </c>
      <c r="D20" s="14" t="s">
        <v>90</v>
      </c>
      <c r="E20" s="13" t="s">
        <v>91</v>
      </c>
      <c r="F20" s="13"/>
      <c r="G20" s="14" t="s">
        <v>92</v>
      </c>
    </row>
    <row r="21" customFormat="false" ht="15" hidden="false" customHeight="true" outlineLevel="0" collapsed="false">
      <c r="A21" s="15" t="s">
        <v>11</v>
      </c>
      <c r="B21" s="6" t="s">
        <v>93</v>
      </c>
      <c r="C21" s="16" t="s">
        <v>94</v>
      </c>
      <c r="D21" s="16" t="s">
        <v>95</v>
      </c>
      <c r="E21" s="17" t="s">
        <v>4</v>
      </c>
      <c r="F21" s="6"/>
      <c r="G21" s="16" t="s">
        <v>96</v>
      </c>
    </row>
    <row r="22" customFormat="false" ht="23.25" hidden="false" customHeight="true" outlineLevel="0" collapsed="false">
      <c r="A22" s="15" t="s">
        <v>11</v>
      </c>
      <c r="B22" s="6" t="s">
        <v>97</v>
      </c>
      <c r="C22" s="16" t="s">
        <v>98</v>
      </c>
      <c r="D22" s="16" t="s">
        <v>99</v>
      </c>
      <c r="E22" s="17" t="s">
        <v>4</v>
      </c>
      <c r="F22" s="6"/>
      <c r="G22" s="16" t="s">
        <v>100</v>
      </c>
    </row>
    <row r="23" customFormat="false" ht="23.25" hidden="false" customHeight="true" outlineLevel="0" collapsed="false">
      <c r="A23" s="15" t="s">
        <v>11</v>
      </c>
      <c r="B23" s="6" t="s">
        <v>101</v>
      </c>
      <c r="C23" s="16" t="s">
        <v>102</v>
      </c>
      <c r="D23" s="16" t="s">
        <v>103</v>
      </c>
      <c r="E23" s="17" t="s">
        <v>4</v>
      </c>
      <c r="F23" s="6"/>
      <c r="G23" s="16" t="s">
        <v>104</v>
      </c>
    </row>
    <row r="24" customFormat="false" ht="15" hidden="false" customHeight="true" outlineLevel="0" collapsed="false">
      <c r="A24" s="15" t="s">
        <v>11</v>
      </c>
      <c r="B24" s="6" t="s">
        <v>105</v>
      </c>
      <c r="C24" s="16" t="s">
        <v>106</v>
      </c>
      <c r="D24" s="16" t="s">
        <v>107</v>
      </c>
      <c r="E24" s="17" t="s">
        <v>4</v>
      </c>
      <c r="F24" s="6"/>
      <c r="G24" s="16" t="s">
        <v>108</v>
      </c>
    </row>
    <row r="25" customFormat="false" ht="15" hidden="false" customHeight="true" outlineLevel="0" collapsed="false">
      <c r="A25" s="15" t="s">
        <v>11</v>
      </c>
      <c r="B25" s="6" t="s">
        <v>109</v>
      </c>
      <c r="C25" s="16" t="s">
        <v>110</v>
      </c>
      <c r="D25" s="16" t="s">
        <v>111</v>
      </c>
      <c r="E25" s="17" t="s">
        <v>4</v>
      </c>
      <c r="F25" s="6"/>
      <c r="G25" s="16" t="s">
        <v>112</v>
      </c>
    </row>
    <row r="26" customFormat="false" ht="15" hidden="false" customHeight="true" outlineLevel="0" collapsed="false">
      <c r="A26" s="15" t="s">
        <v>11</v>
      </c>
      <c r="B26" s="6" t="s">
        <v>113</v>
      </c>
      <c r="C26" s="16" t="s">
        <v>114</v>
      </c>
      <c r="D26" s="16" t="s">
        <v>115</v>
      </c>
      <c r="E26" s="17" t="s">
        <v>4</v>
      </c>
      <c r="F26" s="6"/>
      <c r="G26" s="16" t="s">
        <v>116</v>
      </c>
    </row>
    <row r="27" customFormat="false" ht="23.25" hidden="false" customHeight="true" outlineLevel="0" collapsed="false">
      <c r="A27" s="15" t="s">
        <v>11</v>
      </c>
      <c r="B27" s="6" t="s">
        <v>117</v>
      </c>
      <c r="C27" s="16" t="s">
        <v>118</v>
      </c>
      <c r="D27" s="16" t="s">
        <v>119</v>
      </c>
      <c r="E27" s="17" t="s">
        <v>4</v>
      </c>
      <c r="F27" s="6"/>
      <c r="G27" s="16" t="s">
        <v>120</v>
      </c>
    </row>
    <row r="28" customFormat="false" ht="23.25" hidden="false" customHeight="true" outlineLevel="0" collapsed="false">
      <c r="A28" s="9" t="s">
        <v>12</v>
      </c>
      <c r="B28" s="13" t="s">
        <v>121</v>
      </c>
      <c r="C28" s="14" t="s">
        <v>122</v>
      </c>
      <c r="D28" s="14" t="s">
        <v>123</v>
      </c>
      <c r="E28" s="13" t="s">
        <v>6</v>
      </c>
      <c r="F28" s="13"/>
      <c r="G28" s="14" t="s">
        <v>124</v>
      </c>
    </row>
    <row r="29" customFormat="false" ht="15" hidden="false" customHeight="true" outlineLevel="0" collapsed="false">
      <c r="A29" s="15" t="s">
        <v>12</v>
      </c>
      <c r="B29" s="6" t="s">
        <v>125</v>
      </c>
      <c r="C29" s="16" t="s">
        <v>126</v>
      </c>
      <c r="D29" s="16" t="s">
        <v>127</v>
      </c>
      <c r="E29" s="17" t="s">
        <v>6</v>
      </c>
      <c r="F29" s="6"/>
      <c r="G29" s="16"/>
    </row>
    <row r="30" customFormat="false" ht="15" hidden="false" customHeight="true" outlineLevel="0" collapsed="false">
      <c r="A30" s="15" t="s">
        <v>12</v>
      </c>
      <c r="B30" s="6" t="s">
        <v>128</v>
      </c>
      <c r="C30" s="16" t="s">
        <v>129</v>
      </c>
      <c r="D30" s="16" t="s">
        <v>130</v>
      </c>
      <c r="E30" s="17" t="s">
        <v>6</v>
      </c>
      <c r="F30" s="6"/>
      <c r="G30" s="16" t="s">
        <v>131</v>
      </c>
    </row>
    <row r="31" customFormat="false" ht="23.25" hidden="false" customHeight="true" outlineLevel="0" collapsed="false">
      <c r="A31" s="15" t="s">
        <v>12</v>
      </c>
      <c r="B31" s="6" t="s">
        <v>132</v>
      </c>
      <c r="C31" s="16" t="s">
        <v>133</v>
      </c>
      <c r="D31" s="16" t="s">
        <v>134</v>
      </c>
      <c r="E31" s="17" t="s">
        <v>5</v>
      </c>
      <c r="F31" s="6"/>
      <c r="G31" s="16" t="s">
        <v>135</v>
      </c>
    </row>
    <row r="32" customFormat="false" ht="15" hidden="false" customHeight="true" outlineLevel="0" collapsed="false">
      <c r="A32" s="15" t="s">
        <v>12</v>
      </c>
      <c r="B32" s="6" t="s">
        <v>136</v>
      </c>
      <c r="C32" s="16" t="s">
        <v>137</v>
      </c>
      <c r="D32" s="16" t="s">
        <v>138</v>
      </c>
      <c r="E32" s="17" t="s">
        <v>5</v>
      </c>
      <c r="F32" s="6"/>
      <c r="G32" s="16" t="s">
        <v>139</v>
      </c>
    </row>
    <row r="33" customFormat="false" ht="15" hidden="false" customHeight="true" outlineLevel="0" collapsed="false">
      <c r="A33" s="15" t="s">
        <v>12</v>
      </c>
      <c r="B33" s="6" t="s">
        <v>140</v>
      </c>
      <c r="C33" s="16" t="s">
        <v>141</v>
      </c>
      <c r="D33" s="16" t="s">
        <v>142</v>
      </c>
      <c r="E33" s="17" t="s">
        <v>5</v>
      </c>
      <c r="F33" s="6"/>
      <c r="G33" s="16" t="s">
        <v>143</v>
      </c>
    </row>
    <row r="34" customFormat="false" ht="23.25" hidden="false" customHeight="true" outlineLevel="0" collapsed="false">
      <c r="A34" s="15" t="s">
        <v>12</v>
      </c>
      <c r="B34" s="6" t="s">
        <v>144</v>
      </c>
      <c r="C34" s="16" t="s">
        <v>145</v>
      </c>
      <c r="D34" s="16" t="s">
        <v>146</v>
      </c>
      <c r="E34" s="17" t="s">
        <v>4</v>
      </c>
      <c r="F34" s="6"/>
      <c r="G34" s="16" t="s">
        <v>147</v>
      </c>
    </row>
    <row r="35" customFormat="false" ht="15" hidden="false" customHeight="true" outlineLevel="0" collapsed="false">
      <c r="A35" s="15" t="s">
        <v>12</v>
      </c>
      <c r="B35" s="6" t="s">
        <v>148</v>
      </c>
      <c r="C35" s="16" t="s">
        <v>149</v>
      </c>
      <c r="D35" s="16" t="s">
        <v>150</v>
      </c>
      <c r="E35" s="17" t="s">
        <v>5</v>
      </c>
      <c r="F35" s="6"/>
      <c r="G35" s="16" t="s">
        <v>151</v>
      </c>
    </row>
    <row r="36" customFormat="false" ht="15" hidden="false" customHeight="true" outlineLevel="0" collapsed="false">
      <c r="A36" s="15" t="s">
        <v>12</v>
      </c>
      <c r="B36" s="6" t="s">
        <v>152</v>
      </c>
      <c r="C36" s="16" t="s">
        <v>153</v>
      </c>
      <c r="D36" s="16" t="s">
        <v>154</v>
      </c>
      <c r="E36" s="17" t="s">
        <v>4</v>
      </c>
      <c r="F36" s="6"/>
      <c r="G36" s="16" t="s">
        <v>155</v>
      </c>
    </row>
    <row r="37" customFormat="false" ht="23.25" hidden="false" customHeight="true" outlineLevel="0" collapsed="false">
      <c r="A37" s="15" t="s">
        <v>12</v>
      </c>
      <c r="B37" s="6" t="s">
        <v>156</v>
      </c>
      <c r="C37" s="16" t="s">
        <v>157</v>
      </c>
      <c r="D37" s="16" t="s">
        <v>158</v>
      </c>
      <c r="E37" s="17" t="s">
        <v>6</v>
      </c>
      <c r="F37" s="6"/>
      <c r="G37" s="16" t="s">
        <v>159</v>
      </c>
    </row>
    <row r="38" customFormat="false" ht="15" hidden="false" customHeight="true" outlineLevel="0" collapsed="false">
      <c r="A38" s="9" t="s">
        <v>13</v>
      </c>
      <c r="B38" s="13" t="s">
        <v>160</v>
      </c>
      <c r="C38" s="14" t="s">
        <v>161</v>
      </c>
      <c r="D38" s="14" t="s">
        <v>162</v>
      </c>
      <c r="E38" s="13" t="s">
        <v>6</v>
      </c>
      <c r="F38" s="13"/>
      <c r="G38" s="14" t="s">
        <v>163</v>
      </c>
    </row>
    <row r="39" customFormat="false" ht="23.25" hidden="false" customHeight="true" outlineLevel="0" collapsed="false">
      <c r="A39" s="15" t="s">
        <v>13</v>
      </c>
      <c r="B39" s="6" t="s">
        <v>164</v>
      </c>
      <c r="C39" s="16" t="s">
        <v>165</v>
      </c>
      <c r="D39" s="16" t="s">
        <v>166</v>
      </c>
      <c r="E39" s="17" t="s">
        <v>6</v>
      </c>
      <c r="F39" s="6"/>
      <c r="G39" s="16"/>
    </row>
    <row r="40" customFormat="false" ht="23.25" hidden="false" customHeight="true" outlineLevel="0" collapsed="false">
      <c r="A40" s="15" t="s">
        <v>13</v>
      </c>
      <c r="B40" s="6" t="s">
        <v>167</v>
      </c>
      <c r="C40" s="16" t="s">
        <v>168</v>
      </c>
      <c r="D40" s="16" t="s">
        <v>169</v>
      </c>
      <c r="E40" s="17" t="s">
        <v>6</v>
      </c>
      <c r="F40" s="6"/>
      <c r="G40" s="16" t="s">
        <v>170</v>
      </c>
    </row>
    <row r="41" customFormat="false" ht="23.25" hidden="false" customHeight="true" outlineLevel="0" collapsed="false">
      <c r="A41" s="15" t="s">
        <v>13</v>
      </c>
      <c r="B41" s="6" t="s">
        <v>171</v>
      </c>
      <c r="C41" s="16" t="s">
        <v>172</v>
      </c>
      <c r="D41" s="16" t="s">
        <v>173</v>
      </c>
      <c r="E41" s="17" t="s">
        <v>6</v>
      </c>
      <c r="F41" s="6"/>
      <c r="G41" s="16" t="s">
        <v>174</v>
      </c>
    </row>
    <row r="42" customFormat="false" ht="15" hidden="false" customHeight="true" outlineLevel="0" collapsed="false">
      <c r="A42" s="15" t="s">
        <v>13</v>
      </c>
      <c r="B42" s="6" t="s">
        <v>175</v>
      </c>
      <c r="C42" s="16" t="s">
        <v>176</v>
      </c>
      <c r="D42" s="16" t="s">
        <v>177</v>
      </c>
      <c r="E42" s="17" t="s">
        <v>6</v>
      </c>
      <c r="F42" s="6"/>
      <c r="G42" s="16"/>
    </row>
    <row r="43" customFormat="false" ht="15" hidden="false" customHeight="true" outlineLevel="0" collapsed="false">
      <c r="A43" s="15" t="s">
        <v>13</v>
      </c>
      <c r="B43" s="6" t="s">
        <v>178</v>
      </c>
      <c r="C43" s="16" t="s">
        <v>179</v>
      </c>
      <c r="D43" s="16" t="s">
        <v>180</v>
      </c>
      <c r="E43" s="17" t="s">
        <v>6</v>
      </c>
      <c r="F43" s="6"/>
      <c r="G43" s="16"/>
    </row>
    <row r="44" customFormat="false" ht="15" hidden="false" customHeight="true" outlineLevel="0" collapsed="false">
      <c r="A44" s="15" t="s">
        <v>13</v>
      </c>
      <c r="B44" s="6" t="s">
        <v>181</v>
      </c>
      <c r="C44" s="16" t="s">
        <v>182</v>
      </c>
      <c r="D44" s="16" t="s">
        <v>183</v>
      </c>
      <c r="E44" s="17" t="s">
        <v>6</v>
      </c>
      <c r="F44" s="6"/>
      <c r="G44" s="16"/>
    </row>
    <row r="45" customFormat="false" ht="23.25" hidden="false" customHeight="true" outlineLevel="0" collapsed="false">
      <c r="A45" s="18" t="s">
        <v>9</v>
      </c>
      <c r="B45" s="19" t="s">
        <v>184</v>
      </c>
      <c r="C45" s="14" t="s">
        <v>185</v>
      </c>
      <c r="D45" s="14" t="s">
        <v>186</v>
      </c>
      <c r="E45" s="19" t="s">
        <v>4</v>
      </c>
      <c r="F45" s="19" t="s">
        <v>28</v>
      </c>
      <c r="G45" s="14" t="s">
        <v>187</v>
      </c>
    </row>
    <row r="46" customFormat="false" ht="23.25" hidden="false" customHeight="true" outlineLevel="0" collapsed="false">
      <c r="A46" s="18" t="s">
        <v>10</v>
      </c>
      <c r="B46" s="19" t="s">
        <v>188</v>
      </c>
      <c r="C46" s="14" t="s">
        <v>189</v>
      </c>
      <c r="D46" s="14" t="s">
        <v>190</v>
      </c>
      <c r="E46" s="19" t="s">
        <v>4</v>
      </c>
      <c r="F46" s="19" t="s">
        <v>37</v>
      </c>
      <c r="G46" s="14" t="s">
        <v>191</v>
      </c>
    </row>
    <row r="47" customFormat="false" ht="23.25" hidden="false" customHeight="true" outlineLevel="0" collapsed="false">
      <c r="A47" s="18" t="s">
        <v>10</v>
      </c>
      <c r="B47" s="19" t="s">
        <v>192</v>
      </c>
      <c r="C47" s="14" t="s">
        <v>193</v>
      </c>
      <c r="D47" s="14" t="s">
        <v>194</v>
      </c>
      <c r="E47" s="19" t="s">
        <v>4</v>
      </c>
      <c r="F47" s="19" t="s">
        <v>37</v>
      </c>
      <c r="G47" s="14" t="s">
        <v>195</v>
      </c>
    </row>
    <row r="48" customFormat="false" ht="23.25" hidden="false" customHeight="true" outlineLevel="0" collapsed="false">
      <c r="A48" s="18" t="s">
        <v>10</v>
      </c>
      <c r="B48" s="19" t="s">
        <v>196</v>
      </c>
      <c r="C48" s="14" t="s">
        <v>197</v>
      </c>
      <c r="D48" s="14" t="s">
        <v>198</v>
      </c>
      <c r="E48" s="19" t="s">
        <v>4</v>
      </c>
      <c r="F48" s="19" t="s">
        <v>37</v>
      </c>
      <c r="G48" s="14" t="s">
        <v>199</v>
      </c>
    </row>
    <row r="49" customFormat="false" ht="15" hidden="false" customHeight="true" outlineLevel="0" collapsed="false">
      <c r="A49" s="18" t="s">
        <v>10</v>
      </c>
      <c r="B49" s="19" t="s">
        <v>200</v>
      </c>
      <c r="C49" s="14" t="s">
        <v>201</v>
      </c>
      <c r="D49" s="14" t="s">
        <v>202</v>
      </c>
      <c r="E49" s="19" t="s">
        <v>4</v>
      </c>
      <c r="F49" s="19" t="s">
        <v>28</v>
      </c>
      <c r="G49" s="14" t="s">
        <v>203</v>
      </c>
    </row>
    <row r="50" customFormat="false" ht="23.25" hidden="false" customHeight="true" outlineLevel="0" collapsed="false">
      <c r="A50" s="18" t="s">
        <v>11</v>
      </c>
      <c r="B50" s="19" t="s">
        <v>204</v>
      </c>
      <c r="C50" s="14" t="s">
        <v>205</v>
      </c>
      <c r="D50" s="14" t="s">
        <v>206</v>
      </c>
      <c r="E50" s="19" t="s">
        <v>4</v>
      </c>
      <c r="F50" s="19" t="s">
        <v>37</v>
      </c>
      <c r="G50" s="14" t="s">
        <v>207</v>
      </c>
    </row>
    <row r="51" customFormat="false" ht="15" hidden="false" customHeight="true" outlineLevel="0" collapsed="false">
      <c r="A51" s="18" t="s">
        <v>12</v>
      </c>
      <c r="B51" s="19" t="s">
        <v>208</v>
      </c>
      <c r="C51" s="14" t="s">
        <v>209</v>
      </c>
      <c r="D51" s="14" t="s">
        <v>210</v>
      </c>
      <c r="E51" s="19" t="s">
        <v>5</v>
      </c>
      <c r="F51" s="19" t="s">
        <v>37</v>
      </c>
      <c r="G51" s="14" t="s">
        <v>211</v>
      </c>
    </row>
    <row r="52" customFormat="false" ht="15" hidden="false" customHeight="true" outlineLevel="0" collapsed="false">
      <c r="A52" s="18" t="s">
        <v>12</v>
      </c>
      <c r="B52" s="19" t="s">
        <v>212</v>
      </c>
      <c r="C52" s="14" t="s">
        <v>213</v>
      </c>
      <c r="D52" s="14" t="s">
        <v>214</v>
      </c>
      <c r="E52" s="19" t="s">
        <v>4</v>
      </c>
      <c r="F52" s="19" t="s">
        <v>37</v>
      </c>
      <c r="G52" s="14" t="s">
        <v>215</v>
      </c>
    </row>
    <row r="53" customFormat="false" ht="23.25" hidden="false" customHeight="true" outlineLevel="0" collapsed="false">
      <c r="A53" s="18" t="s">
        <v>13</v>
      </c>
      <c r="B53" s="19" t="s">
        <v>216</v>
      </c>
      <c r="C53" s="14" t="s">
        <v>217</v>
      </c>
      <c r="D53" s="14" t="s">
        <v>218</v>
      </c>
      <c r="E53" s="19" t="s">
        <v>4</v>
      </c>
      <c r="F53" s="19" t="s">
        <v>28</v>
      </c>
      <c r="G53" s="14" t="s">
        <v>219</v>
      </c>
    </row>
    <row r="54" customFormat="false" ht="23.25" hidden="false" customHeight="true" outlineLevel="0" collapsed="false">
      <c r="A54" s="18" t="s">
        <v>13</v>
      </c>
      <c r="B54" s="19" t="s">
        <v>220</v>
      </c>
      <c r="C54" s="14" t="s">
        <v>221</v>
      </c>
      <c r="D54" s="14" t="s">
        <v>222</v>
      </c>
      <c r="E54" s="19" t="s">
        <v>6</v>
      </c>
      <c r="F54" s="19" t="s">
        <v>28</v>
      </c>
      <c r="G54" s="14" t="s">
        <v>223</v>
      </c>
    </row>
    <row r="55" customFormat="false" ht="23.25" hidden="false" customHeight="true" outlineLevel="0" collapsed="false">
      <c r="A55" s="18" t="s">
        <v>13</v>
      </c>
      <c r="B55" s="19" t="s">
        <v>224</v>
      </c>
      <c r="C55" s="14" t="s">
        <v>225</v>
      </c>
      <c r="D55" s="14" t="s">
        <v>226</v>
      </c>
      <c r="E55" s="19" t="s">
        <v>6</v>
      </c>
      <c r="F55" s="19" t="s">
        <v>28</v>
      </c>
      <c r="G55" s="14" t="s">
        <v>227</v>
      </c>
    </row>
    <row r="56" customFormat="false" ht="23.25" hidden="false" customHeight="true" outlineLevel="0" collapsed="false">
      <c r="A56" s="18" t="s">
        <v>13</v>
      </c>
      <c r="B56" s="19" t="s">
        <v>228</v>
      </c>
      <c r="C56" s="14" t="s">
        <v>229</v>
      </c>
      <c r="D56" s="14" t="s">
        <v>230</v>
      </c>
      <c r="E56" s="19" t="s">
        <v>6</v>
      </c>
      <c r="F56" s="19" t="s">
        <v>28</v>
      </c>
      <c r="G56" s="14" t="s">
        <v>231</v>
      </c>
    </row>
    <row r="57" customFormat="false" ht="23.25" hidden="false" customHeight="true" outlineLevel="0" collapsed="false">
      <c r="A57" s="18" t="s">
        <v>9</v>
      </c>
      <c r="B57" s="19" t="s">
        <v>232</v>
      </c>
      <c r="C57" s="14" t="s">
        <v>233</v>
      </c>
      <c r="D57" s="14" t="s">
        <v>234</v>
      </c>
      <c r="E57" s="19" t="s">
        <v>4</v>
      </c>
      <c r="F57" s="19" t="s">
        <v>37</v>
      </c>
      <c r="G57" s="14" t="s">
        <v>235</v>
      </c>
    </row>
    <row r="58" customFormat="false" ht="23.25" hidden="false" customHeight="true" outlineLevel="0" collapsed="false">
      <c r="A58" s="18" t="s">
        <v>10</v>
      </c>
      <c r="B58" s="19" t="s">
        <v>236</v>
      </c>
      <c r="C58" s="14" t="s">
        <v>237</v>
      </c>
      <c r="D58" s="14" t="s">
        <v>238</v>
      </c>
      <c r="E58" s="19" t="s">
        <v>4</v>
      </c>
      <c r="F58" s="19" t="s">
        <v>37</v>
      </c>
      <c r="G58" s="14" t="s">
        <v>239</v>
      </c>
    </row>
    <row r="59" customFormat="false" ht="34.5" hidden="false" customHeight="true" outlineLevel="0" collapsed="false">
      <c r="A59" s="18" t="s">
        <v>10</v>
      </c>
      <c r="B59" s="19" t="s">
        <v>240</v>
      </c>
      <c r="C59" s="14" t="s">
        <v>241</v>
      </c>
      <c r="D59" s="14" t="s">
        <v>242</v>
      </c>
      <c r="E59" s="19" t="s">
        <v>4</v>
      </c>
      <c r="F59" s="19" t="s">
        <v>37</v>
      </c>
      <c r="G59" s="14" t="s">
        <v>243</v>
      </c>
    </row>
    <row r="60" customFormat="false" ht="23.25" hidden="false" customHeight="true" outlineLevel="0" collapsed="false">
      <c r="A60" s="18" t="s">
        <v>10</v>
      </c>
      <c r="B60" s="19" t="s">
        <v>244</v>
      </c>
      <c r="C60" s="14" t="s">
        <v>245</v>
      </c>
      <c r="D60" s="14" t="s">
        <v>246</v>
      </c>
      <c r="E60" s="19" t="s">
        <v>4</v>
      </c>
      <c r="F60" s="19" t="s">
        <v>37</v>
      </c>
      <c r="G60" s="14" t="s">
        <v>247</v>
      </c>
    </row>
    <row r="61" customFormat="false" ht="23.25" hidden="false" customHeight="true" outlineLevel="0" collapsed="false">
      <c r="A61" s="18" t="s">
        <v>11</v>
      </c>
      <c r="B61" s="19" t="s">
        <v>248</v>
      </c>
      <c r="C61" s="14" t="s">
        <v>249</v>
      </c>
      <c r="D61" s="14" t="s">
        <v>250</v>
      </c>
      <c r="E61" s="19" t="s">
        <v>4</v>
      </c>
      <c r="F61" s="19" t="s">
        <v>37</v>
      </c>
      <c r="G61" s="14" t="s">
        <v>251</v>
      </c>
    </row>
    <row r="62" customFormat="false" ht="34.5" hidden="false" customHeight="true" outlineLevel="0" collapsed="false">
      <c r="A62" s="18" t="s">
        <v>9</v>
      </c>
      <c r="B62" s="19" t="s">
        <v>252</v>
      </c>
      <c r="C62" s="14" t="s">
        <v>253</v>
      </c>
      <c r="D62" s="14" t="s">
        <v>254</v>
      </c>
      <c r="E62" s="19" t="s">
        <v>4</v>
      </c>
      <c r="F62" s="19" t="s">
        <v>37</v>
      </c>
      <c r="G62" s="14" t="s">
        <v>255</v>
      </c>
    </row>
    <row r="63" customFormat="false" ht="23.25" hidden="false" customHeight="true" outlineLevel="0" collapsed="false">
      <c r="A63" s="18" t="s">
        <v>9</v>
      </c>
      <c r="B63" s="19" t="s">
        <v>256</v>
      </c>
      <c r="C63" s="14" t="s">
        <v>257</v>
      </c>
      <c r="D63" s="14" t="s">
        <v>258</v>
      </c>
      <c r="E63" s="19" t="s">
        <v>4</v>
      </c>
      <c r="F63" s="19" t="s">
        <v>37</v>
      </c>
      <c r="G63" s="14" t="s">
        <v>259</v>
      </c>
    </row>
    <row r="64" customFormat="false" ht="23.25" hidden="false" customHeight="true" outlineLevel="0" collapsed="false">
      <c r="A64" s="18" t="s">
        <v>9</v>
      </c>
      <c r="B64" s="19" t="s">
        <v>260</v>
      </c>
      <c r="C64" s="14" t="s">
        <v>261</v>
      </c>
      <c r="D64" s="14" t="s">
        <v>262</v>
      </c>
      <c r="E64" s="19" t="s">
        <v>4</v>
      </c>
      <c r="F64" s="19" t="s">
        <v>28</v>
      </c>
      <c r="G64" s="14" t="s">
        <v>263</v>
      </c>
    </row>
    <row r="65" customFormat="false" ht="34.5" hidden="false" customHeight="true" outlineLevel="0" collapsed="false">
      <c r="A65" s="18" t="s">
        <v>11</v>
      </c>
      <c r="B65" s="19" t="s">
        <v>264</v>
      </c>
      <c r="C65" s="14" t="s">
        <v>265</v>
      </c>
      <c r="D65" s="14" t="s">
        <v>266</v>
      </c>
      <c r="E65" s="19" t="s">
        <v>4</v>
      </c>
      <c r="F65" s="19" t="s">
        <v>37</v>
      </c>
      <c r="G65" s="14" t="s">
        <v>267</v>
      </c>
    </row>
    <row r="66" customFormat="false" ht="34.5" hidden="false" customHeight="true" outlineLevel="0" collapsed="false">
      <c r="A66" s="18" t="s">
        <v>11</v>
      </c>
      <c r="B66" s="19" t="s">
        <v>268</v>
      </c>
      <c r="C66" s="14" t="s">
        <v>269</v>
      </c>
      <c r="D66" s="14" t="s">
        <v>270</v>
      </c>
      <c r="E66" s="19" t="s">
        <v>4</v>
      </c>
      <c r="F66" s="19" t="s">
        <v>37</v>
      </c>
      <c r="G66" s="14" t="s">
        <v>271</v>
      </c>
    </row>
    <row r="67" customFormat="false" ht="23.25" hidden="false" customHeight="true" outlineLevel="0" collapsed="false">
      <c r="A67" s="18" t="s">
        <v>11</v>
      </c>
      <c r="B67" s="19" t="s">
        <v>272</v>
      </c>
      <c r="C67" s="14" t="s">
        <v>273</v>
      </c>
      <c r="D67" s="14" t="s">
        <v>274</v>
      </c>
      <c r="E67" s="19" t="s">
        <v>4</v>
      </c>
      <c r="F67" s="19" t="s">
        <v>37</v>
      </c>
      <c r="G67" s="14" t="s">
        <v>275</v>
      </c>
    </row>
    <row r="68" customFormat="false" ht="23.25" hidden="false" customHeight="true" outlineLevel="0" collapsed="false">
      <c r="A68" s="18" t="s">
        <v>11</v>
      </c>
      <c r="B68" s="19" t="s">
        <v>276</v>
      </c>
      <c r="C68" s="14" t="s">
        <v>277</v>
      </c>
      <c r="D68" s="14" t="s">
        <v>278</v>
      </c>
      <c r="E68" s="19" t="s">
        <v>4</v>
      </c>
      <c r="F68" s="19" t="s">
        <v>28</v>
      </c>
      <c r="G68" s="14" t="s">
        <v>279</v>
      </c>
    </row>
    <row r="69" customFormat="false" ht="23.25" hidden="false" customHeight="true" outlineLevel="0" collapsed="false">
      <c r="A69" s="18" t="s">
        <v>11</v>
      </c>
      <c r="B69" s="19" t="s">
        <v>280</v>
      </c>
      <c r="C69" s="14" t="s">
        <v>281</v>
      </c>
      <c r="D69" s="14" t="s">
        <v>282</v>
      </c>
      <c r="E69" s="19" t="s">
        <v>4</v>
      </c>
      <c r="F69" s="19" t="s">
        <v>28</v>
      </c>
      <c r="G69" s="14" t="s">
        <v>283</v>
      </c>
    </row>
    <row r="70" customFormat="false" ht="23.25" hidden="false" customHeight="true" outlineLevel="0" collapsed="false">
      <c r="A70" s="18" t="s">
        <v>11</v>
      </c>
      <c r="B70" s="19" t="s">
        <v>284</v>
      </c>
      <c r="C70" s="14" t="s">
        <v>285</v>
      </c>
      <c r="D70" s="14" t="s">
        <v>286</v>
      </c>
      <c r="E70" s="19" t="s">
        <v>4</v>
      </c>
      <c r="F70" s="19" t="s">
        <v>37</v>
      </c>
      <c r="G70" s="14" t="s">
        <v>287</v>
      </c>
    </row>
    <row r="71" customFormat="false" ht="23.25" hidden="false" customHeight="true" outlineLevel="0" collapsed="false">
      <c r="A71" s="18" t="s">
        <v>11</v>
      </c>
      <c r="B71" s="19" t="s">
        <v>288</v>
      </c>
      <c r="C71" s="14" t="s">
        <v>289</v>
      </c>
      <c r="D71" s="14" t="s">
        <v>290</v>
      </c>
      <c r="E71" s="19" t="s">
        <v>4</v>
      </c>
      <c r="F71" s="19" t="s">
        <v>37</v>
      </c>
      <c r="G71" s="14" t="s">
        <v>291</v>
      </c>
    </row>
    <row r="72" customFormat="false" ht="23.25" hidden="false" customHeight="true" outlineLevel="0" collapsed="false">
      <c r="A72" s="18" t="s">
        <v>11</v>
      </c>
      <c r="B72" s="19" t="s">
        <v>292</v>
      </c>
      <c r="C72" s="14" t="s">
        <v>293</v>
      </c>
      <c r="D72" s="14" t="s">
        <v>294</v>
      </c>
      <c r="E72" s="19" t="s">
        <v>4</v>
      </c>
      <c r="F72" s="19" t="s">
        <v>37</v>
      </c>
      <c r="G72" s="14" t="s">
        <v>295</v>
      </c>
    </row>
    <row r="73" customFormat="false" ht="23.25" hidden="false" customHeight="true" outlineLevel="0" collapsed="false">
      <c r="A73" s="18" t="s">
        <v>11</v>
      </c>
      <c r="B73" s="19" t="s">
        <v>296</v>
      </c>
      <c r="C73" s="14" t="s">
        <v>297</v>
      </c>
      <c r="D73" s="14" t="s">
        <v>298</v>
      </c>
      <c r="E73" s="19" t="s">
        <v>4</v>
      </c>
      <c r="F73" s="19" t="s">
        <v>37</v>
      </c>
      <c r="G73" s="14" t="s">
        <v>299</v>
      </c>
    </row>
    <row r="74" customFormat="false" ht="34.5" hidden="false" customHeight="true" outlineLevel="0" collapsed="false">
      <c r="A74" s="18" t="s">
        <v>11</v>
      </c>
      <c r="B74" s="19" t="s">
        <v>300</v>
      </c>
      <c r="C74" s="14" t="s">
        <v>301</v>
      </c>
      <c r="D74" s="14" t="s">
        <v>302</v>
      </c>
      <c r="E74" s="19" t="s">
        <v>4</v>
      </c>
      <c r="F74" s="19" t="s">
        <v>37</v>
      </c>
      <c r="G74" s="14" t="s">
        <v>303</v>
      </c>
    </row>
    <row r="75" customFormat="false" ht="23.25" hidden="false" customHeight="true" outlineLevel="0" collapsed="false">
      <c r="A75" s="18" t="s">
        <v>11</v>
      </c>
      <c r="B75" s="19" t="s">
        <v>304</v>
      </c>
      <c r="C75" s="14" t="s">
        <v>305</v>
      </c>
      <c r="D75" s="14" t="s">
        <v>306</v>
      </c>
      <c r="E75" s="19" t="s">
        <v>4</v>
      </c>
      <c r="F75" s="19" t="s">
        <v>37</v>
      </c>
      <c r="G75" s="14" t="s">
        <v>307</v>
      </c>
    </row>
    <row r="76" customFormat="false" ht="34.5" hidden="false" customHeight="true" outlineLevel="0" collapsed="false">
      <c r="A76" s="18" t="s">
        <v>9</v>
      </c>
      <c r="B76" s="19" t="s">
        <v>308</v>
      </c>
      <c r="C76" s="14" t="s">
        <v>309</v>
      </c>
      <c r="D76" s="14" t="s">
        <v>310</v>
      </c>
      <c r="E76" s="19" t="s">
        <v>4</v>
      </c>
      <c r="F76" s="19" t="s">
        <v>37</v>
      </c>
      <c r="G76" s="14" t="s">
        <v>311</v>
      </c>
    </row>
    <row r="77" customFormat="false" ht="57" hidden="false" customHeight="true" outlineLevel="0" collapsed="false">
      <c r="A77" s="18" t="s">
        <v>10</v>
      </c>
      <c r="B77" s="19" t="s">
        <v>312</v>
      </c>
      <c r="C77" s="14" t="s">
        <v>313</v>
      </c>
      <c r="D77" s="14" t="s">
        <v>314</v>
      </c>
      <c r="E77" s="19" t="s">
        <v>4</v>
      </c>
      <c r="F77" s="19" t="s">
        <v>28</v>
      </c>
      <c r="G77" s="14" t="s">
        <v>315</v>
      </c>
    </row>
    <row r="78" customFormat="false" ht="23.25" hidden="false" customHeight="true" outlineLevel="0" collapsed="false">
      <c r="A78" s="18" t="s">
        <v>11</v>
      </c>
      <c r="B78" s="19" t="s">
        <v>316</v>
      </c>
      <c r="C78" s="14" t="s">
        <v>317</v>
      </c>
      <c r="D78" s="14" t="s">
        <v>318</v>
      </c>
      <c r="E78" s="19" t="s">
        <v>4</v>
      </c>
      <c r="F78" s="19" t="s">
        <v>37</v>
      </c>
      <c r="G78" s="14" t="s">
        <v>319</v>
      </c>
    </row>
    <row r="79" customFormat="false" ht="23.25" hidden="false" customHeight="true" outlineLevel="0" collapsed="false">
      <c r="A79" s="18" t="s">
        <v>11</v>
      </c>
      <c r="B79" s="19" t="s">
        <v>320</v>
      </c>
      <c r="C79" s="14" t="s">
        <v>321</v>
      </c>
      <c r="D79" s="14" t="s">
        <v>322</v>
      </c>
      <c r="E79" s="19" t="s">
        <v>4</v>
      </c>
      <c r="F79" s="19" t="s">
        <v>37</v>
      </c>
      <c r="G79" s="14" t="s">
        <v>323</v>
      </c>
    </row>
    <row r="80" customFormat="false" ht="23.25" hidden="false" customHeight="true" outlineLevel="0" collapsed="false">
      <c r="A80" s="18" t="s">
        <v>11</v>
      </c>
      <c r="B80" s="19" t="s">
        <v>324</v>
      </c>
      <c r="C80" s="14" t="s">
        <v>325</v>
      </c>
      <c r="D80" s="14" t="s">
        <v>326</v>
      </c>
      <c r="E80" s="19" t="s">
        <v>4</v>
      </c>
      <c r="F80" s="19" t="s">
        <v>37</v>
      </c>
      <c r="G80" s="14" t="s">
        <v>327</v>
      </c>
    </row>
    <row r="81" customFormat="false" ht="23.25" hidden="false" customHeight="true" outlineLevel="0" collapsed="false">
      <c r="A81" s="18" t="s">
        <v>11</v>
      </c>
      <c r="B81" s="19" t="s">
        <v>328</v>
      </c>
      <c r="C81" s="14" t="s">
        <v>329</v>
      </c>
      <c r="D81" s="14" t="s">
        <v>330</v>
      </c>
      <c r="E81" s="19" t="s">
        <v>4</v>
      </c>
      <c r="F81" s="19" t="s">
        <v>37</v>
      </c>
      <c r="G81" s="14" t="s">
        <v>331</v>
      </c>
    </row>
    <row r="82" customFormat="false" ht="23.25" hidden="false" customHeight="true" outlineLevel="0" collapsed="false">
      <c r="A82" s="18" t="s">
        <v>12</v>
      </c>
      <c r="B82" s="19" t="s">
        <v>332</v>
      </c>
      <c r="C82" s="14" t="s">
        <v>333</v>
      </c>
      <c r="D82" s="14" t="s">
        <v>334</v>
      </c>
      <c r="E82" s="19" t="s">
        <v>5</v>
      </c>
      <c r="F82" s="19" t="s">
        <v>37</v>
      </c>
      <c r="G82" s="14" t="s">
        <v>335</v>
      </c>
    </row>
    <row r="83" customFormat="false" ht="34.5" hidden="false" customHeight="true" outlineLevel="0" collapsed="false">
      <c r="A83" s="18" t="s">
        <v>11</v>
      </c>
      <c r="B83" s="19" t="s">
        <v>336</v>
      </c>
      <c r="C83" s="14" t="s">
        <v>337</v>
      </c>
      <c r="D83" s="14" t="s">
        <v>338</v>
      </c>
      <c r="E83" s="19" t="s">
        <v>4</v>
      </c>
      <c r="F83" s="19" t="s">
        <v>37</v>
      </c>
      <c r="G83" s="14" t="s">
        <v>339</v>
      </c>
    </row>
    <row r="84" customFormat="false" ht="23.25" hidden="false" customHeight="true" outlineLevel="0" collapsed="false">
      <c r="A84" s="18" t="s">
        <v>9</v>
      </c>
      <c r="B84" s="19" t="s">
        <v>340</v>
      </c>
      <c r="C84" s="14" t="s">
        <v>341</v>
      </c>
      <c r="D84" s="14" t="s">
        <v>342</v>
      </c>
      <c r="E84" s="19" t="s">
        <v>4</v>
      </c>
      <c r="F84" s="19" t="s">
        <v>28</v>
      </c>
      <c r="G84" s="14" t="s">
        <v>343</v>
      </c>
    </row>
    <row r="85" customFormat="false" ht="34.5" hidden="false" customHeight="true" outlineLevel="0" collapsed="false">
      <c r="A85" s="18" t="s">
        <v>11</v>
      </c>
      <c r="B85" s="19" t="s">
        <v>344</v>
      </c>
      <c r="C85" s="14" t="s">
        <v>345</v>
      </c>
      <c r="D85" s="14" t="s">
        <v>346</v>
      </c>
      <c r="E85" s="19" t="s">
        <v>4</v>
      </c>
      <c r="F85" s="19" t="s">
        <v>37</v>
      </c>
      <c r="G85" s="14" t="s">
        <v>347</v>
      </c>
    </row>
    <row r="86" customFormat="false" ht="45.75" hidden="false" customHeight="true" outlineLevel="0" collapsed="false">
      <c r="A86" s="18" t="s">
        <v>11</v>
      </c>
      <c r="B86" s="19" t="s">
        <v>348</v>
      </c>
      <c r="C86" s="14" t="s">
        <v>349</v>
      </c>
      <c r="D86" s="14" t="s">
        <v>350</v>
      </c>
      <c r="E86" s="19" t="s">
        <v>5</v>
      </c>
      <c r="F86" s="19" t="s">
        <v>28</v>
      </c>
      <c r="G86" s="14" t="s">
        <v>351</v>
      </c>
    </row>
    <row r="87" customFormat="false" ht="45.75" hidden="false" customHeight="true" outlineLevel="0" collapsed="false">
      <c r="A87" s="18" t="s">
        <v>11</v>
      </c>
      <c r="B87" s="19" t="s">
        <v>352</v>
      </c>
      <c r="C87" s="14" t="s">
        <v>353</v>
      </c>
      <c r="D87" s="14" t="s">
        <v>354</v>
      </c>
      <c r="E87" s="19" t="s">
        <v>4</v>
      </c>
      <c r="F87" s="19" t="s">
        <v>37</v>
      </c>
      <c r="G87" s="14" t="s">
        <v>355</v>
      </c>
    </row>
    <row r="88" customFormat="false" ht="23.25" hidden="false" customHeight="true" outlineLevel="0" collapsed="false">
      <c r="A88" s="18" t="s">
        <v>13</v>
      </c>
      <c r="B88" s="19" t="s">
        <v>356</v>
      </c>
      <c r="C88" s="14" t="s">
        <v>357</v>
      </c>
      <c r="D88" s="14" t="s">
        <v>358</v>
      </c>
      <c r="E88" s="19" t="s">
        <v>5</v>
      </c>
      <c r="F88" s="19" t="s">
        <v>28</v>
      </c>
      <c r="G88" s="14" t="s">
        <v>359</v>
      </c>
    </row>
    <row r="89" customFormat="false" ht="34.5" hidden="false" customHeight="true" outlineLevel="0" collapsed="false">
      <c r="A89" s="18" t="s">
        <v>13</v>
      </c>
      <c r="B89" s="19" t="s">
        <v>360</v>
      </c>
      <c r="C89" s="14" t="s">
        <v>361</v>
      </c>
      <c r="D89" s="14" t="s">
        <v>362</v>
      </c>
      <c r="E89" s="19" t="s">
        <v>6</v>
      </c>
      <c r="F89" s="19" t="s">
        <v>28</v>
      </c>
      <c r="G89" s="14" t="s">
        <v>363</v>
      </c>
    </row>
    <row r="90" customFormat="false" ht="90.75" hidden="false" customHeight="true" outlineLevel="0" collapsed="false">
      <c r="A90" s="18" t="s">
        <v>10</v>
      </c>
      <c r="B90" s="19" t="s">
        <v>364</v>
      </c>
      <c r="C90" s="14" t="s">
        <v>365</v>
      </c>
      <c r="D90" s="14" t="s">
        <v>366</v>
      </c>
      <c r="E90" s="19" t="s">
        <v>4</v>
      </c>
      <c r="F90" s="19" t="s">
        <v>37</v>
      </c>
      <c r="G90" s="14" t="s">
        <v>367</v>
      </c>
    </row>
    <row r="91" customFormat="false" ht="79.5" hidden="false" customHeight="true" outlineLevel="0" collapsed="false">
      <c r="A91" s="18" t="s">
        <v>11</v>
      </c>
      <c r="B91" s="19" t="s">
        <v>368</v>
      </c>
      <c r="C91" s="14" t="s">
        <v>369</v>
      </c>
      <c r="D91" s="14" t="s">
        <v>370</v>
      </c>
      <c r="E91" s="19" t="s">
        <v>4</v>
      </c>
      <c r="F91" s="19" t="s">
        <v>37</v>
      </c>
      <c r="G91" s="14" t="s">
        <v>371</v>
      </c>
    </row>
    <row r="92" customFormat="false" ht="34.5" hidden="false" customHeight="true" outlineLevel="0" collapsed="false">
      <c r="A92" s="18" t="s">
        <v>11</v>
      </c>
      <c r="B92" s="19" t="s">
        <v>372</v>
      </c>
      <c r="C92" s="14" t="s">
        <v>373</v>
      </c>
      <c r="D92" s="14" t="s">
        <v>374</v>
      </c>
      <c r="E92" s="19" t="s">
        <v>4</v>
      </c>
      <c r="F92" s="19" t="s">
        <v>37</v>
      </c>
      <c r="G92" s="14" t="s">
        <v>375</v>
      </c>
    </row>
    <row r="93" customFormat="false" ht="45.75" hidden="false" customHeight="true" outlineLevel="0" collapsed="false">
      <c r="A93" s="18" t="s">
        <v>11</v>
      </c>
      <c r="B93" s="19" t="s">
        <v>376</v>
      </c>
      <c r="C93" s="14" t="s">
        <v>377</v>
      </c>
      <c r="D93" s="14" t="s">
        <v>378</v>
      </c>
      <c r="E93" s="19" t="s">
        <v>4</v>
      </c>
      <c r="F93" s="19" t="s">
        <v>37</v>
      </c>
      <c r="G93" s="14" t="s">
        <v>379</v>
      </c>
    </row>
    <row r="94" customFormat="false" ht="68.25" hidden="false" customHeight="true" outlineLevel="0" collapsed="false">
      <c r="A94" s="18" t="s">
        <v>11</v>
      </c>
      <c r="B94" s="19" t="s">
        <v>380</v>
      </c>
      <c r="C94" s="14" t="s">
        <v>381</v>
      </c>
      <c r="D94" s="14" t="s">
        <v>382</v>
      </c>
      <c r="E94" s="19" t="s">
        <v>4</v>
      </c>
      <c r="F94" s="19" t="s">
        <v>50</v>
      </c>
      <c r="G94" s="14" t="s">
        <v>383</v>
      </c>
    </row>
    <row r="95" customFormat="false" ht="57" hidden="false" customHeight="true" outlineLevel="0" collapsed="false">
      <c r="A95" s="18" t="s">
        <v>12</v>
      </c>
      <c r="B95" s="19" t="s">
        <v>384</v>
      </c>
      <c r="C95" s="14" t="s">
        <v>385</v>
      </c>
      <c r="D95" s="14" t="s">
        <v>386</v>
      </c>
      <c r="E95" s="19" t="s">
        <v>4</v>
      </c>
      <c r="F95" s="19" t="s">
        <v>37</v>
      </c>
      <c r="G95" s="14" t="s">
        <v>387</v>
      </c>
    </row>
    <row r="96" customFormat="false" ht="90.75" hidden="false" customHeight="true" outlineLevel="0" collapsed="false">
      <c r="A96" s="18" t="s">
        <v>12</v>
      </c>
      <c r="B96" s="19" t="s">
        <v>388</v>
      </c>
      <c r="C96" s="14" t="s">
        <v>389</v>
      </c>
      <c r="D96" s="14" t="s">
        <v>390</v>
      </c>
      <c r="E96" s="19" t="s">
        <v>6</v>
      </c>
      <c r="F96" s="19" t="s">
        <v>28</v>
      </c>
      <c r="G96" s="14" t="s">
        <v>391</v>
      </c>
    </row>
    <row r="97" customFormat="false" ht="90.75" hidden="false" customHeight="true" outlineLevel="0" collapsed="false">
      <c r="A97" s="18" t="s">
        <v>9</v>
      </c>
      <c r="B97" s="19" t="s">
        <v>392</v>
      </c>
      <c r="C97" s="14" t="s">
        <v>393</v>
      </c>
      <c r="D97" s="14" t="s">
        <v>394</v>
      </c>
      <c r="E97" s="19" t="s">
        <v>4</v>
      </c>
      <c r="F97" s="19" t="s">
        <v>37</v>
      </c>
      <c r="G97" s="14" t="s">
        <v>395</v>
      </c>
    </row>
    <row r="98" customFormat="false" ht="102" hidden="false" customHeight="true" outlineLevel="0" collapsed="false">
      <c r="A98" s="18" t="s">
        <v>9</v>
      </c>
      <c r="B98" s="19" t="s">
        <v>396</v>
      </c>
      <c r="C98" s="14" t="s">
        <v>397</v>
      </c>
      <c r="D98" s="14" t="s">
        <v>398</v>
      </c>
      <c r="E98" s="19" t="s">
        <v>4</v>
      </c>
      <c r="F98" s="19" t="s">
        <v>37</v>
      </c>
      <c r="G98" s="14" t="s">
        <v>399</v>
      </c>
    </row>
    <row r="99" customFormat="false" ht="34.5" hidden="false" customHeight="true" outlineLevel="0" collapsed="false">
      <c r="A99" s="18" t="s">
        <v>9</v>
      </c>
      <c r="B99" s="19" t="s">
        <v>400</v>
      </c>
      <c r="C99" s="14" t="s">
        <v>401</v>
      </c>
      <c r="D99" s="14" t="s">
        <v>402</v>
      </c>
      <c r="E99" s="19" t="s">
        <v>4</v>
      </c>
      <c r="F99" s="19" t="s">
        <v>37</v>
      </c>
      <c r="G99" s="14" t="s">
        <v>403</v>
      </c>
    </row>
    <row r="100" customFormat="false" ht="34.5" hidden="false" customHeight="true" outlineLevel="0" collapsed="false">
      <c r="A100" s="20" t="s">
        <v>11</v>
      </c>
      <c r="B100" s="21" t="s">
        <v>404</v>
      </c>
      <c r="C100" s="16" t="s">
        <v>405</v>
      </c>
      <c r="D100" s="16" t="s">
        <v>406</v>
      </c>
      <c r="E100" s="21" t="s">
        <v>4</v>
      </c>
      <c r="F100" s="21" t="s">
        <v>37</v>
      </c>
      <c r="G100" s="16" t="s">
        <v>407</v>
      </c>
    </row>
    <row r="101" customFormat="false" ht="23.25" hidden="false" customHeight="true" outlineLevel="0" collapsed="false">
      <c r="A101" s="20" t="s">
        <v>11</v>
      </c>
      <c r="B101" s="21" t="s">
        <v>408</v>
      </c>
      <c r="C101" s="16" t="s">
        <v>409</v>
      </c>
      <c r="D101" s="16" t="s">
        <v>410</v>
      </c>
      <c r="E101" s="21" t="s">
        <v>4</v>
      </c>
      <c r="F101" s="21" t="s">
        <v>37</v>
      </c>
      <c r="G101" s="16" t="s">
        <v>411</v>
      </c>
    </row>
    <row r="102" customFormat="false" ht="34.5" hidden="false" customHeight="true" outlineLevel="0" collapsed="false">
      <c r="A102" s="20" t="s">
        <v>11</v>
      </c>
      <c r="B102" s="21" t="s">
        <v>412</v>
      </c>
      <c r="C102" s="16" t="s">
        <v>413</v>
      </c>
      <c r="D102" s="16" t="s">
        <v>414</v>
      </c>
      <c r="E102" s="21" t="s">
        <v>4</v>
      </c>
      <c r="F102" s="21" t="s">
        <v>28</v>
      </c>
      <c r="G102" s="16" t="s">
        <v>415</v>
      </c>
    </row>
    <row r="103" customFormat="false" ht="79.5" hidden="false" customHeight="true" outlineLevel="0" collapsed="false">
      <c r="A103" s="20" t="s">
        <v>11</v>
      </c>
      <c r="B103" s="21" t="s">
        <v>416</v>
      </c>
      <c r="C103" s="16" t="s">
        <v>417</v>
      </c>
      <c r="D103" s="16" t="s">
        <v>418</v>
      </c>
      <c r="E103" s="21" t="s">
        <v>4</v>
      </c>
      <c r="F103" s="21" t="s">
        <v>28</v>
      </c>
      <c r="G103" s="16" t="s">
        <v>419</v>
      </c>
    </row>
    <row r="104" customFormat="false" ht="34.5" hidden="false" customHeight="true" outlineLevel="0" collapsed="false">
      <c r="A104" s="20" t="s">
        <v>11</v>
      </c>
      <c r="B104" s="21" t="s">
        <v>420</v>
      </c>
      <c r="C104" s="16" t="s">
        <v>421</v>
      </c>
      <c r="D104" s="16" t="s">
        <v>422</v>
      </c>
      <c r="E104" s="21" t="s">
        <v>4</v>
      </c>
      <c r="F104" s="21" t="s">
        <v>28</v>
      </c>
      <c r="G104" s="16" t="s">
        <v>423</v>
      </c>
    </row>
    <row r="105" customFormat="false" ht="34.5" hidden="false" customHeight="true" outlineLevel="0" collapsed="false">
      <c r="A105" s="20" t="s">
        <v>11</v>
      </c>
      <c r="B105" s="21" t="s">
        <v>424</v>
      </c>
      <c r="C105" s="16" t="s">
        <v>425</v>
      </c>
      <c r="D105" s="16" t="s">
        <v>426</v>
      </c>
      <c r="E105" s="21" t="s">
        <v>4</v>
      </c>
      <c r="F105" s="21" t="s">
        <v>37</v>
      </c>
      <c r="G105" s="16" t="s">
        <v>427</v>
      </c>
    </row>
    <row r="106" customFormat="false" ht="68.25" hidden="false" customHeight="true" outlineLevel="0" collapsed="false">
      <c r="A106" s="20" t="s">
        <v>10</v>
      </c>
      <c r="B106" s="21" t="s">
        <v>428</v>
      </c>
      <c r="C106" s="16" t="s">
        <v>429</v>
      </c>
      <c r="D106" s="16" t="s">
        <v>430</v>
      </c>
      <c r="E106" s="21" t="s">
        <v>4</v>
      </c>
      <c r="F106" s="21" t="s">
        <v>37</v>
      </c>
      <c r="G106" s="16" t="s">
        <v>431</v>
      </c>
    </row>
    <row r="107" customFormat="false" ht="79.5" hidden="false" customHeight="true" outlineLevel="0" collapsed="false">
      <c r="A107" s="20" t="s">
        <v>10</v>
      </c>
      <c r="B107" s="21" t="s">
        <v>432</v>
      </c>
      <c r="C107" s="16" t="s">
        <v>433</v>
      </c>
      <c r="D107" s="16" t="s">
        <v>434</v>
      </c>
      <c r="E107" s="21" t="s">
        <v>4</v>
      </c>
      <c r="F107" s="21" t="s">
        <v>37</v>
      </c>
      <c r="G107" s="16" t="s">
        <v>435</v>
      </c>
    </row>
    <row r="108" customFormat="false" ht="68.25" hidden="false" customHeight="true" outlineLevel="0" collapsed="false">
      <c r="A108" s="20" t="s">
        <v>10</v>
      </c>
      <c r="B108" s="21" t="s">
        <v>436</v>
      </c>
      <c r="C108" s="16" t="s">
        <v>437</v>
      </c>
      <c r="D108" s="16" t="s">
        <v>438</v>
      </c>
      <c r="E108" s="21" t="s">
        <v>4</v>
      </c>
      <c r="F108" s="21" t="s">
        <v>37</v>
      </c>
      <c r="G108" s="16" t="s">
        <v>439</v>
      </c>
    </row>
    <row r="109" customFormat="false" ht="124.5" hidden="false" customHeight="true" outlineLevel="0" collapsed="false">
      <c r="A109" s="20" t="s">
        <v>10</v>
      </c>
      <c r="B109" s="21" t="s">
        <v>440</v>
      </c>
      <c r="C109" s="16" t="s">
        <v>441</v>
      </c>
      <c r="D109" s="16" t="s">
        <v>442</v>
      </c>
      <c r="E109" s="21" t="s">
        <v>4</v>
      </c>
      <c r="F109" s="21" t="s">
        <v>37</v>
      </c>
      <c r="G109" s="16" t="s">
        <v>443</v>
      </c>
    </row>
    <row r="110" customFormat="false" ht="45.75" hidden="false" customHeight="true" outlineLevel="0" collapsed="false">
      <c r="A110" s="20" t="s">
        <v>9</v>
      </c>
      <c r="B110" s="21" t="s">
        <v>444</v>
      </c>
      <c r="C110" s="16" t="s">
        <v>445</v>
      </c>
      <c r="D110" s="16" t="s">
        <v>446</v>
      </c>
      <c r="E110" s="21" t="s">
        <v>4</v>
      </c>
      <c r="F110" s="21" t="s">
        <v>37</v>
      </c>
      <c r="G110" s="16" t="s">
        <v>447</v>
      </c>
    </row>
    <row r="111" customFormat="false" ht="45.75" hidden="false" customHeight="true" outlineLevel="0" collapsed="false">
      <c r="A111" s="20" t="s">
        <v>9</v>
      </c>
      <c r="B111" s="21" t="s">
        <v>448</v>
      </c>
      <c r="C111" s="16" t="s">
        <v>449</v>
      </c>
      <c r="D111" s="16" t="s">
        <v>450</v>
      </c>
      <c r="E111" s="21" t="s">
        <v>6</v>
      </c>
      <c r="F111" s="21" t="s">
        <v>28</v>
      </c>
      <c r="G111" s="16" t="s">
        <v>451</v>
      </c>
    </row>
    <row r="112" customFormat="false" ht="34.5" hidden="false" customHeight="true" outlineLevel="0" collapsed="false">
      <c r="A112" s="20" t="s">
        <v>9</v>
      </c>
      <c r="B112" s="21" t="s">
        <v>452</v>
      </c>
      <c r="C112" s="16" t="s">
        <v>453</v>
      </c>
      <c r="D112" s="16" t="s">
        <v>454</v>
      </c>
      <c r="E112" s="21" t="s">
        <v>6</v>
      </c>
      <c r="F112" s="21" t="s">
        <v>37</v>
      </c>
      <c r="G112" s="16" t="s">
        <v>455</v>
      </c>
    </row>
    <row r="113" customFormat="false" ht="23.25" hidden="false" customHeight="true" outlineLevel="0" collapsed="false">
      <c r="A113" s="20" t="s">
        <v>9</v>
      </c>
      <c r="B113" s="21" t="s">
        <v>456</v>
      </c>
      <c r="C113" s="16" t="s">
        <v>457</v>
      </c>
      <c r="D113" s="16" t="s">
        <v>458</v>
      </c>
      <c r="E113" s="21" t="s">
        <v>6</v>
      </c>
      <c r="F113" s="21" t="s">
        <v>37</v>
      </c>
      <c r="G113" s="16" t="s">
        <v>459</v>
      </c>
    </row>
    <row r="114" customFormat="false" ht="57" hidden="false" customHeight="true" outlineLevel="0" collapsed="false">
      <c r="A114" s="20" t="s">
        <v>9</v>
      </c>
      <c r="B114" s="21" t="s">
        <v>460</v>
      </c>
      <c r="C114" s="16" t="s">
        <v>461</v>
      </c>
      <c r="D114" s="16" t="s">
        <v>462</v>
      </c>
      <c r="E114" s="21" t="s">
        <v>6</v>
      </c>
      <c r="F114" s="21" t="s">
        <v>28</v>
      </c>
      <c r="G114" s="16" t="s">
        <v>463</v>
      </c>
    </row>
    <row r="115" customFormat="false" ht="34.5" hidden="false" customHeight="true" outlineLevel="0" collapsed="false">
      <c r="A115" s="20" t="s">
        <v>9</v>
      </c>
      <c r="B115" s="21" t="s">
        <v>464</v>
      </c>
      <c r="C115" s="16" t="s">
        <v>465</v>
      </c>
      <c r="D115" s="16" t="s">
        <v>466</v>
      </c>
      <c r="E115" s="21" t="s">
        <v>6</v>
      </c>
      <c r="F115" s="21" t="s">
        <v>28</v>
      </c>
      <c r="G115" s="16" t="s">
        <v>467</v>
      </c>
    </row>
    <row r="116" customFormat="false" ht="45.75" hidden="false" customHeight="true" outlineLevel="0" collapsed="false">
      <c r="A116" s="20" t="s">
        <v>11</v>
      </c>
      <c r="B116" s="21" t="s">
        <v>468</v>
      </c>
      <c r="C116" s="16" t="s">
        <v>469</v>
      </c>
      <c r="D116" s="16" t="s">
        <v>470</v>
      </c>
      <c r="E116" s="21" t="s">
        <v>4</v>
      </c>
      <c r="F116" s="21" t="s">
        <v>37</v>
      </c>
      <c r="G116" s="16" t="s">
        <v>471</v>
      </c>
    </row>
    <row r="117" customFormat="false" ht="79.5" hidden="false" customHeight="true" outlineLevel="0" collapsed="false">
      <c r="A117" s="20" t="s">
        <v>11</v>
      </c>
      <c r="B117" s="21" t="s">
        <v>472</v>
      </c>
      <c r="C117" s="16" t="s">
        <v>473</v>
      </c>
      <c r="D117" s="16" t="s">
        <v>474</v>
      </c>
      <c r="E117" s="21" t="s">
        <v>4</v>
      </c>
      <c r="F117" s="21" t="s">
        <v>37</v>
      </c>
      <c r="G117" s="16" t="s">
        <v>475</v>
      </c>
    </row>
    <row r="118" customFormat="false" ht="113.25" hidden="false" customHeight="true" outlineLevel="0" collapsed="false">
      <c r="A118" s="20" t="s">
        <v>11</v>
      </c>
      <c r="B118" s="21" t="s">
        <v>476</v>
      </c>
      <c r="C118" s="16" t="s">
        <v>477</v>
      </c>
      <c r="D118" s="16" t="s">
        <v>478</v>
      </c>
      <c r="E118" s="21" t="s">
        <v>4</v>
      </c>
      <c r="F118" s="21" t="s">
        <v>37</v>
      </c>
      <c r="G118" s="16" t="s">
        <v>479</v>
      </c>
    </row>
    <row r="119" customFormat="false" ht="45.75" hidden="false" customHeight="true" outlineLevel="0" collapsed="false">
      <c r="A119" s="20" t="s">
        <v>13</v>
      </c>
      <c r="B119" s="21" t="s">
        <v>480</v>
      </c>
      <c r="C119" s="16" t="s">
        <v>481</v>
      </c>
      <c r="D119" s="16" t="s">
        <v>482</v>
      </c>
      <c r="E119" s="21" t="s">
        <v>6</v>
      </c>
      <c r="F119" s="21" t="s">
        <v>28</v>
      </c>
      <c r="G119" s="16" t="s">
        <v>483</v>
      </c>
    </row>
    <row r="120" customFormat="false" ht="157.5" hidden="false" customHeight="true" outlineLevel="0" collapsed="false">
      <c r="A120" s="20" t="s">
        <v>11</v>
      </c>
      <c r="B120" s="21" t="s">
        <v>484</v>
      </c>
      <c r="C120" s="16" t="s">
        <v>485</v>
      </c>
      <c r="D120" s="16" t="s">
        <v>486</v>
      </c>
      <c r="E120" s="21" t="s">
        <v>4</v>
      </c>
      <c r="F120" s="21" t="s">
        <v>37</v>
      </c>
      <c r="G120" s="16" t="s">
        <v>487</v>
      </c>
    </row>
    <row r="121" customFormat="false" ht="68.25" hidden="false" customHeight="true" outlineLevel="0" collapsed="false">
      <c r="A121" s="20" t="s">
        <v>11</v>
      </c>
      <c r="B121" s="21" t="s">
        <v>488</v>
      </c>
      <c r="C121" s="16" t="s">
        <v>489</v>
      </c>
      <c r="D121" s="16" t="s">
        <v>490</v>
      </c>
      <c r="E121" s="21" t="s">
        <v>4</v>
      </c>
      <c r="F121" s="21" t="s">
        <v>37</v>
      </c>
      <c r="G121" s="16" t="s">
        <v>491</v>
      </c>
    </row>
    <row r="122" customFormat="false" ht="57" hidden="false" customHeight="true" outlineLevel="0" collapsed="false">
      <c r="A122" s="20" t="s">
        <v>13</v>
      </c>
      <c r="B122" s="21" t="s">
        <v>492</v>
      </c>
      <c r="C122" s="16" t="s">
        <v>493</v>
      </c>
      <c r="D122" s="16" t="s">
        <v>494</v>
      </c>
      <c r="E122" s="21" t="s">
        <v>6</v>
      </c>
      <c r="F122" s="21" t="s">
        <v>37</v>
      </c>
      <c r="G122" s="16" t="s">
        <v>495</v>
      </c>
    </row>
    <row r="123" customFormat="false" ht="68.25" hidden="false" customHeight="true" outlineLevel="0" collapsed="false">
      <c r="A123" s="20" t="s">
        <v>10</v>
      </c>
      <c r="B123" s="21" t="s">
        <v>496</v>
      </c>
      <c r="C123" s="16" t="s">
        <v>497</v>
      </c>
      <c r="D123" s="16" t="s">
        <v>498</v>
      </c>
      <c r="E123" s="21" t="s">
        <v>4</v>
      </c>
      <c r="F123" s="21" t="s">
        <v>37</v>
      </c>
      <c r="G123" s="16" t="s">
        <v>499</v>
      </c>
    </row>
    <row r="124" customFormat="false" ht="79.5" hidden="false" customHeight="true" outlineLevel="0" collapsed="false">
      <c r="A124" s="20" t="s">
        <v>10</v>
      </c>
      <c r="B124" s="21" t="s">
        <v>500</v>
      </c>
      <c r="C124" s="16" t="s">
        <v>501</v>
      </c>
      <c r="D124" s="16" t="s">
        <v>502</v>
      </c>
      <c r="E124" s="21" t="s">
        <v>4</v>
      </c>
      <c r="F124" s="21" t="s">
        <v>37</v>
      </c>
      <c r="G124" s="16" t="s">
        <v>503</v>
      </c>
    </row>
    <row r="125" customFormat="false" ht="90.75" hidden="false" customHeight="true" outlineLevel="0" collapsed="false">
      <c r="A125" s="20" t="s">
        <v>11</v>
      </c>
      <c r="B125" s="21" t="s">
        <v>504</v>
      </c>
      <c r="C125" s="16" t="s">
        <v>505</v>
      </c>
      <c r="D125" s="16" t="s">
        <v>506</v>
      </c>
      <c r="E125" s="21" t="s">
        <v>4</v>
      </c>
      <c r="F125" s="21" t="s">
        <v>37</v>
      </c>
      <c r="G125" s="16" t="s">
        <v>507</v>
      </c>
    </row>
    <row r="126" customFormat="false" ht="102" hidden="false" customHeight="true" outlineLevel="0" collapsed="false">
      <c r="A126" s="20" t="s">
        <v>11</v>
      </c>
      <c r="B126" s="21" t="s">
        <v>508</v>
      </c>
      <c r="C126" s="16" t="s">
        <v>509</v>
      </c>
      <c r="D126" s="16" t="s">
        <v>510</v>
      </c>
      <c r="E126" s="21" t="s">
        <v>4</v>
      </c>
      <c r="F126" s="21" t="s">
        <v>37</v>
      </c>
      <c r="G126" s="16" t="s">
        <v>511</v>
      </c>
    </row>
    <row r="127" customFormat="false" ht="68.25" hidden="false" customHeight="true" outlineLevel="0" collapsed="false">
      <c r="A127" s="20" t="s">
        <v>12</v>
      </c>
      <c r="B127" s="21" t="s">
        <v>512</v>
      </c>
      <c r="C127" s="16" t="s">
        <v>513</v>
      </c>
      <c r="D127" s="16" t="s">
        <v>514</v>
      </c>
      <c r="E127" s="21" t="s">
        <v>4</v>
      </c>
      <c r="F127" s="21" t="s">
        <v>37</v>
      </c>
      <c r="G127" s="16" t="s">
        <v>515</v>
      </c>
    </row>
    <row r="128" customFormat="false" ht="79.5" hidden="false" customHeight="true" outlineLevel="0" collapsed="false">
      <c r="A128" s="20" t="s">
        <v>12</v>
      </c>
      <c r="B128" s="21" t="s">
        <v>516</v>
      </c>
      <c r="C128" s="16" t="s">
        <v>517</v>
      </c>
      <c r="D128" s="16" t="s">
        <v>518</v>
      </c>
      <c r="E128" s="21" t="s">
        <v>4</v>
      </c>
      <c r="F128" s="21" t="s">
        <v>37</v>
      </c>
      <c r="G128" s="16" t="s">
        <v>519</v>
      </c>
    </row>
    <row r="129" customFormat="false" ht="57" hidden="false" customHeight="true" outlineLevel="0" collapsed="false">
      <c r="A129" s="20" t="s">
        <v>13</v>
      </c>
      <c r="B129" s="21" t="s">
        <v>520</v>
      </c>
      <c r="C129" s="16" t="s">
        <v>521</v>
      </c>
      <c r="D129" s="16" t="s">
        <v>522</v>
      </c>
      <c r="E129" s="21" t="s">
        <v>6</v>
      </c>
      <c r="F129" s="21" t="s">
        <v>37</v>
      </c>
      <c r="G129" s="16" t="s">
        <v>523</v>
      </c>
    </row>
    <row r="130" customFormat="false" ht="113.25" hidden="false" customHeight="true" outlineLevel="0" collapsed="false">
      <c r="A130" s="20" t="s">
        <v>10</v>
      </c>
      <c r="B130" s="21" t="s">
        <v>524</v>
      </c>
      <c r="C130" s="16" t="s">
        <v>525</v>
      </c>
      <c r="D130" s="16" t="s">
        <v>526</v>
      </c>
      <c r="E130" s="21" t="s">
        <v>5</v>
      </c>
      <c r="F130" s="21" t="s">
        <v>37</v>
      </c>
      <c r="G130" s="16" t="s">
        <v>527</v>
      </c>
    </row>
    <row r="131" customFormat="false" ht="247.5" hidden="false" customHeight="true" outlineLevel="0" collapsed="false">
      <c r="A131" s="20" t="s">
        <v>12</v>
      </c>
      <c r="B131" s="21" t="s">
        <v>528</v>
      </c>
      <c r="C131" s="16" t="s">
        <v>529</v>
      </c>
      <c r="D131" s="16" t="s">
        <v>530</v>
      </c>
      <c r="E131" s="21" t="s">
        <v>6</v>
      </c>
      <c r="F131" s="21" t="s">
        <v>28</v>
      </c>
      <c r="G131" s="16" t="s">
        <v>531</v>
      </c>
    </row>
    <row r="132" customFormat="false" ht="157.5" hidden="false" customHeight="true" outlineLevel="0" collapsed="false">
      <c r="A132" s="20" t="s">
        <v>10</v>
      </c>
      <c r="B132" s="21" t="s">
        <v>532</v>
      </c>
      <c r="C132" s="16" t="s">
        <v>533</v>
      </c>
      <c r="D132" s="16" t="s">
        <v>534</v>
      </c>
      <c r="E132" s="21" t="s">
        <v>4</v>
      </c>
      <c r="F132" s="21" t="s">
        <v>37</v>
      </c>
      <c r="G132" s="16" t="s">
        <v>535</v>
      </c>
    </row>
    <row r="133" customFormat="false" ht="45.75" hidden="false" customHeight="true" outlineLevel="0" collapsed="false">
      <c r="A133" s="20" t="s">
        <v>9</v>
      </c>
      <c r="B133" s="21" t="s">
        <v>536</v>
      </c>
      <c r="C133" s="16" t="s">
        <v>537</v>
      </c>
      <c r="D133" s="16" t="s">
        <v>538</v>
      </c>
      <c r="E133" s="21" t="s">
        <v>4</v>
      </c>
      <c r="F133" s="21" t="s">
        <v>28</v>
      </c>
      <c r="G133" s="16" t="s">
        <v>539</v>
      </c>
    </row>
    <row r="134" customFormat="false" ht="68.25" hidden="false" customHeight="true" outlineLevel="0" collapsed="false">
      <c r="A134" s="20" t="s">
        <v>11</v>
      </c>
      <c r="B134" s="21" t="s">
        <v>540</v>
      </c>
      <c r="C134" s="16" t="s">
        <v>541</v>
      </c>
      <c r="D134" s="16" t="s">
        <v>542</v>
      </c>
      <c r="E134" s="21" t="s">
        <v>4</v>
      </c>
      <c r="F134" s="21" t="s">
        <v>37</v>
      </c>
      <c r="G134" s="16" t="s">
        <v>543</v>
      </c>
    </row>
    <row r="135" customFormat="false" ht="102" hidden="false" customHeight="true" outlineLevel="0" collapsed="false">
      <c r="A135" s="20" t="s">
        <v>9</v>
      </c>
      <c r="B135" s="21" t="s">
        <v>544</v>
      </c>
      <c r="C135" s="16" t="s">
        <v>545</v>
      </c>
      <c r="D135" s="16" t="s">
        <v>546</v>
      </c>
      <c r="E135" s="21" t="s">
        <v>4</v>
      </c>
      <c r="F135" s="21" t="s">
        <v>28</v>
      </c>
      <c r="G135" s="16" t="s">
        <v>547</v>
      </c>
    </row>
    <row r="136" customFormat="false" ht="147" hidden="false" customHeight="true" outlineLevel="0" collapsed="false">
      <c r="A136" s="20" t="s">
        <v>11</v>
      </c>
      <c r="B136" s="21" t="s">
        <v>548</v>
      </c>
      <c r="C136" s="16" t="s">
        <v>549</v>
      </c>
      <c r="D136" s="16" t="s">
        <v>550</v>
      </c>
      <c r="E136" s="21" t="s">
        <v>4</v>
      </c>
      <c r="F136" s="21" t="s">
        <v>37</v>
      </c>
      <c r="G136" s="16" t="s">
        <v>551</v>
      </c>
    </row>
    <row r="137" customFormat="false" ht="147" hidden="false" customHeight="true" outlineLevel="0" collapsed="false">
      <c r="A137" s="20" t="s">
        <v>9</v>
      </c>
      <c r="B137" s="21" t="s">
        <v>552</v>
      </c>
      <c r="C137" s="16" t="s">
        <v>553</v>
      </c>
      <c r="D137" s="16" t="s">
        <v>554</v>
      </c>
      <c r="E137" s="21" t="s">
        <v>4</v>
      </c>
      <c r="F137" s="21" t="s">
        <v>555</v>
      </c>
      <c r="G137" s="16" t="s">
        <v>556</v>
      </c>
    </row>
    <row r="138" customFormat="false" ht="147" hidden="false" customHeight="true" outlineLevel="0" collapsed="false">
      <c r="A138" s="20" t="s">
        <v>9</v>
      </c>
      <c r="B138" s="21" t="s">
        <v>557</v>
      </c>
      <c r="C138" s="16" t="s">
        <v>558</v>
      </c>
      <c r="D138" s="16" t="s">
        <v>559</v>
      </c>
      <c r="E138" s="21" t="s">
        <v>4</v>
      </c>
      <c r="F138" s="21" t="s">
        <v>555</v>
      </c>
      <c r="G138" s="16" t="s">
        <v>560</v>
      </c>
    </row>
    <row r="139" customFormat="false" ht="147" hidden="false" customHeight="true" outlineLevel="0" collapsed="false">
      <c r="A139" s="20" t="s">
        <v>9</v>
      </c>
      <c r="B139" s="21" t="s">
        <v>561</v>
      </c>
      <c r="C139" s="16" t="s">
        <v>562</v>
      </c>
      <c r="D139" s="16" t="s">
        <v>563</v>
      </c>
      <c r="E139" s="21" t="s">
        <v>4</v>
      </c>
      <c r="F139" s="21" t="s">
        <v>28</v>
      </c>
      <c r="G139" s="16" t="s">
        <v>564</v>
      </c>
    </row>
    <row r="140" customFormat="false" ht="147" hidden="false" customHeight="true" outlineLevel="0" collapsed="false">
      <c r="A140" s="20" t="s">
        <v>9</v>
      </c>
      <c r="B140" s="21" t="s">
        <v>565</v>
      </c>
      <c r="C140" s="16" t="s">
        <v>566</v>
      </c>
      <c r="D140" s="16" t="s">
        <v>567</v>
      </c>
      <c r="E140" s="21" t="s">
        <v>4</v>
      </c>
      <c r="F140" s="21" t="s">
        <v>28</v>
      </c>
      <c r="G140" s="16" t="s">
        <v>568</v>
      </c>
    </row>
  </sheetData>
  <autoFilter ref="A4:G44"/>
  <conditionalFormatting sqref="E5:E44">
    <cfRule type="cellIs" priority="2" operator="equal" aboveAverage="0" equalAverage="0" bottom="0" percent="0" rank="0" text="" dxfId="8">
      <formula>"Done"</formula>
    </cfRule>
    <cfRule type="cellIs" priority="3" operator="equal" aboveAverage="0" equalAverage="0" bottom="0" percent="0" rank="0" text="" dxfId="9">
      <formula>"In Progress"</formula>
    </cfRule>
    <cfRule type="cellIs" priority="4" operator="equal" aboveAverage="0" equalAverage="0" bottom="0" percent="0" rank="0" text="" dxfId="10">
      <formula>"Blocked"</formula>
    </cfRule>
  </conditionalFormatting>
  <dataValidations count="1">
    <dataValidation allowBlank="true" errorStyle="stop" operator="between" showDropDown="false" showErrorMessage="false" showInputMessage="false" sqref="E5:E44" type="list">
      <formula1>"Not Started,In Progress,Done,Blocked,N/A"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8"/>
    <col collapsed="false" customWidth="true" hidden="false" outlineLevel="0" max="3" min="3" style="1" width="26"/>
    <col collapsed="false" customWidth="true" hidden="false" outlineLevel="0" max="4" min="4" style="1" width="56"/>
    <col collapsed="false" customWidth="true" hidden="false" outlineLevel="0" max="5" min="5" style="1" width="11"/>
    <col collapsed="false" customWidth="true" hidden="false" outlineLevel="0" max="6" min="6" style="1" width="13"/>
    <col collapsed="false" customWidth="true" hidden="false" outlineLevel="0" max="7" min="7" style="1" width="56"/>
  </cols>
  <sheetData>
    <row r="1" customFormat="false" ht="17.25" hidden="false" customHeight="true" outlineLevel="0" collapsed="false">
      <c r="A1" s="2" t="s">
        <v>569</v>
      </c>
    </row>
    <row r="3" customFormat="false" ht="15" hidden="false" customHeight="true" outlineLevel="0" collapsed="false">
      <c r="A3" s="4" t="s">
        <v>19</v>
      </c>
      <c r="B3" s="4" t="s">
        <v>20</v>
      </c>
      <c r="C3" s="4" t="s">
        <v>570</v>
      </c>
      <c r="D3" s="4" t="s">
        <v>571</v>
      </c>
      <c r="E3" s="4" t="s">
        <v>572</v>
      </c>
      <c r="F3" s="4" t="s">
        <v>22</v>
      </c>
      <c r="G3" s="4" t="s">
        <v>24</v>
      </c>
    </row>
    <row r="4" customFormat="false" ht="15" hidden="false" customHeight="true" outlineLevel="0" collapsed="false">
      <c r="A4" s="6" t="s">
        <v>573</v>
      </c>
      <c r="B4" s="6" t="s">
        <v>25</v>
      </c>
      <c r="C4" s="16" t="s">
        <v>574</v>
      </c>
      <c r="D4" s="16" t="s">
        <v>575</v>
      </c>
      <c r="E4" s="17" t="s">
        <v>576</v>
      </c>
      <c r="F4" s="17" t="s">
        <v>577</v>
      </c>
      <c r="G4" s="16" t="s">
        <v>578</v>
      </c>
    </row>
    <row r="5" customFormat="false" ht="15" hidden="false" customHeight="true" outlineLevel="0" collapsed="false">
      <c r="A5" s="6" t="s">
        <v>579</v>
      </c>
      <c r="B5" s="6" t="s">
        <v>25</v>
      </c>
      <c r="C5" s="16" t="s">
        <v>580</v>
      </c>
      <c r="D5" s="16" t="s">
        <v>581</v>
      </c>
      <c r="E5" s="17" t="s">
        <v>576</v>
      </c>
      <c r="F5" s="17" t="s">
        <v>577</v>
      </c>
      <c r="G5" s="16"/>
    </row>
    <row r="6" customFormat="false" ht="15" hidden="false" customHeight="true" outlineLevel="0" collapsed="false">
      <c r="A6" s="6" t="s">
        <v>582</v>
      </c>
      <c r="B6" s="6" t="s">
        <v>25</v>
      </c>
      <c r="C6" s="16" t="s">
        <v>583</v>
      </c>
      <c r="D6" s="16" t="s">
        <v>584</v>
      </c>
      <c r="E6" s="17" t="s">
        <v>585</v>
      </c>
      <c r="F6" s="17" t="s">
        <v>577</v>
      </c>
      <c r="G6" s="16"/>
    </row>
    <row r="7" customFormat="false" ht="15" hidden="false" customHeight="true" outlineLevel="0" collapsed="false">
      <c r="A7" s="6" t="s">
        <v>586</v>
      </c>
      <c r="B7" s="6" t="s">
        <v>25</v>
      </c>
      <c r="C7" s="16" t="s">
        <v>583</v>
      </c>
      <c r="D7" s="16" t="s">
        <v>587</v>
      </c>
      <c r="E7" s="17" t="s">
        <v>588</v>
      </c>
      <c r="F7" s="17" t="s">
        <v>577</v>
      </c>
      <c r="G7" s="16" t="s">
        <v>589</v>
      </c>
    </row>
    <row r="8" customFormat="false" ht="15" hidden="false" customHeight="true" outlineLevel="0" collapsed="false">
      <c r="A8" s="6" t="s">
        <v>590</v>
      </c>
      <c r="B8" s="6" t="s">
        <v>25</v>
      </c>
      <c r="C8" s="16" t="s">
        <v>591</v>
      </c>
      <c r="D8" s="16" t="s">
        <v>592</v>
      </c>
      <c r="E8" s="17" t="s">
        <v>588</v>
      </c>
      <c r="F8" s="17" t="s">
        <v>577</v>
      </c>
      <c r="G8" s="16"/>
    </row>
    <row r="9" customFormat="false" ht="15" hidden="false" customHeight="true" outlineLevel="0" collapsed="false">
      <c r="A9" s="6" t="s">
        <v>593</v>
      </c>
      <c r="B9" s="6" t="s">
        <v>30</v>
      </c>
      <c r="C9" s="16" t="s">
        <v>594</v>
      </c>
      <c r="D9" s="16" t="s">
        <v>595</v>
      </c>
      <c r="E9" s="17" t="s">
        <v>576</v>
      </c>
      <c r="F9" s="17" t="s">
        <v>577</v>
      </c>
      <c r="G9" s="16" t="s">
        <v>596</v>
      </c>
    </row>
    <row r="10" customFormat="false" ht="15" hidden="false" customHeight="true" outlineLevel="0" collapsed="false">
      <c r="A10" s="6" t="s">
        <v>597</v>
      </c>
      <c r="B10" s="6" t="s">
        <v>30</v>
      </c>
      <c r="C10" s="16" t="s">
        <v>598</v>
      </c>
      <c r="D10" s="16" t="s">
        <v>599</v>
      </c>
      <c r="E10" s="17" t="s">
        <v>576</v>
      </c>
      <c r="F10" s="17" t="s">
        <v>577</v>
      </c>
      <c r="G10" s="16" t="s">
        <v>600</v>
      </c>
    </row>
    <row r="11" customFormat="false" ht="15" hidden="false" customHeight="true" outlineLevel="0" collapsed="false">
      <c r="A11" s="6" t="s">
        <v>601</v>
      </c>
      <c r="B11" s="6" t="s">
        <v>30</v>
      </c>
      <c r="C11" s="16" t="s">
        <v>574</v>
      </c>
      <c r="D11" s="16" t="s">
        <v>602</v>
      </c>
      <c r="E11" s="17" t="s">
        <v>576</v>
      </c>
      <c r="F11" s="17" t="s">
        <v>577</v>
      </c>
      <c r="G11" s="16" t="s">
        <v>603</v>
      </c>
    </row>
    <row r="12" customFormat="false" ht="15" hidden="false" customHeight="true" outlineLevel="0" collapsed="false">
      <c r="A12" s="6" t="s">
        <v>604</v>
      </c>
      <c r="B12" s="6" t="s">
        <v>30</v>
      </c>
      <c r="C12" s="16" t="s">
        <v>605</v>
      </c>
      <c r="D12" s="16" t="s">
        <v>606</v>
      </c>
      <c r="E12" s="17" t="s">
        <v>588</v>
      </c>
      <c r="F12" s="17" t="s">
        <v>577</v>
      </c>
      <c r="G12" s="16" t="s">
        <v>607</v>
      </c>
    </row>
    <row r="13" customFormat="false" ht="15" hidden="false" customHeight="true" outlineLevel="0" collapsed="false">
      <c r="A13" s="6" t="s">
        <v>608</v>
      </c>
      <c r="B13" s="6" t="s">
        <v>30</v>
      </c>
      <c r="C13" s="16" t="s">
        <v>609</v>
      </c>
      <c r="D13" s="16" t="s">
        <v>610</v>
      </c>
      <c r="E13" s="17" t="s">
        <v>588</v>
      </c>
      <c r="F13" s="17" t="s">
        <v>577</v>
      </c>
      <c r="G13" s="16" t="s">
        <v>611</v>
      </c>
    </row>
    <row r="14" customFormat="false" ht="23.25" hidden="false" customHeight="true" outlineLevel="0" collapsed="false">
      <c r="A14" s="6" t="s">
        <v>612</v>
      </c>
      <c r="B14" s="6" t="s">
        <v>30</v>
      </c>
      <c r="C14" s="16" t="s">
        <v>613</v>
      </c>
      <c r="D14" s="16" t="s">
        <v>614</v>
      </c>
      <c r="E14" s="17" t="s">
        <v>588</v>
      </c>
      <c r="F14" s="17" t="s">
        <v>577</v>
      </c>
      <c r="G14" s="16" t="s">
        <v>615</v>
      </c>
    </row>
    <row r="15" customFormat="false" ht="23.25" hidden="false" customHeight="true" outlineLevel="0" collapsed="false">
      <c r="A15" s="6" t="s">
        <v>616</v>
      </c>
      <c r="B15" s="6" t="s">
        <v>617</v>
      </c>
      <c r="C15" s="16" t="s">
        <v>618</v>
      </c>
      <c r="D15" s="16" t="s">
        <v>619</v>
      </c>
      <c r="E15" s="17" t="s">
        <v>588</v>
      </c>
      <c r="F15" s="17" t="s">
        <v>577</v>
      </c>
      <c r="G15" s="16" t="s">
        <v>620</v>
      </c>
    </row>
    <row r="16" customFormat="false" ht="15" hidden="false" customHeight="true" outlineLevel="0" collapsed="false">
      <c r="A16" s="6" t="s">
        <v>621</v>
      </c>
      <c r="B16" s="6" t="s">
        <v>34</v>
      </c>
      <c r="C16" s="16" t="s">
        <v>622</v>
      </c>
      <c r="D16" s="16" t="s">
        <v>623</v>
      </c>
      <c r="E16" s="17" t="s">
        <v>576</v>
      </c>
      <c r="F16" s="17" t="s">
        <v>577</v>
      </c>
      <c r="G16" s="16" t="s">
        <v>624</v>
      </c>
    </row>
    <row r="17" customFormat="false" ht="15" hidden="false" customHeight="true" outlineLevel="0" collapsed="false">
      <c r="A17" s="6" t="s">
        <v>625</v>
      </c>
      <c r="B17" s="6" t="s">
        <v>47</v>
      </c>
      <c r="C17" s="16" t="s">
        <v>626</v>
      </c>
      <c r="D17" s="16" t="s">
        <v>627</v>
      </c>
      <c r="E17" s="17" t="s">
        <v>576</v>
      </c>
      <c r="F17" s="17" t="s">
        <v>577</v>
      </c>
      <c r="G17" s="16" t="s">
        <v>628</v>
      </c>
    </row>
    <row r="18" customFormat="false" ht="15" hidden="false" customHeight="true" outlineLevel="0" collapsed="false">
      <c r="A18" s="6" t="s">
        <v>629</v>
      </c>
      <c r="B18" s="6" t="s">
        <v>52</v>
      </c>
      <c r="C18" s="16" t="s">
        <v>630</v>
      </c>
      <c r="D18" s="16" t="s">
        <v>631</v>
      </c>
      <c r="E18" s="17" t="s">
        <v>585</v>
      </c>
      <c r="F18" s="17" t="s">
        <v>632</v>
      </c>
      <c r="G18" s="16" t="s">
        <v>633</v>
      </c>
    </row>
    <row r="19" customFormat="false" ht="15" hidden="false" customHeight="true" outlineLevel="0" collapsed="false">
      <c r="A19" s="6" t="s">
        <v>634</v>
      </c>
      <c r="B19" s="6" t="s">
        <v>617</v>
      </c>
      <c r="C19" s="16" t="s">
        <v>635</v>
      </c>
      <c r="D19" s="16" t="s">
        <v>636</v>
      </c>
      <c r="E19" s="17" t="s">
        <v>585</v>
      </c>
      <c r="F19" s="17" t="s">
        <v>577</v>
      </c>
      <c r="G19" s="16" t="s">
        <v>637</v>
      </c>
    </row>
    <row r="20" customFormat="false" ht="15" hidden="false" customHeight="true" outlineLevel="0" collapsed="false">
      <c r="A20" s="6" t="s">
        <v>638</v>
      </c>
      <c r="B20" s="6" t="s">
        <v>30</v>
      </c>
      <c r="C20" s="16" t="s">
        <v>639</v>
      </c>
      <c r="D20" s="16" t="s">
        <v>640</v>
      </c>
      <c r="E20" s="17" t="s">
        <v>585</v>
      </c>
      <c r="F20" s="17" t="s">
        <v>577</v>
      </c>
      <c r="G20" s="16" t="s">
        <v>641</v>
      </c>
    </row>
    <row r="21" customFormat="false" ht="15" hidden="false" customHeight="true" outlineLevel="0" collapsed="false">
      <c r="A21" s="6" t="s">
        <v>642</v>
      </c>
      <c r="B21" s="6" t="s">
        <v>617</v>
      </c>
      <c r="C21" s="16" t="s">
        <v>639</v>
      </c>
      <c r="D21" s="16" t="s">
        <v>643</v>
      </c>
      <c r="E21" s="17" t="s">
        <v>588</v>
      </c>
      <c r="F21" s="17" t="s">
        <v>577</v>
      </c>
      <c r="G21" s="16" t="s">
        <v>644</v>
      </c>
    </row>
    <row r="22" customFormat="false" ht="15" hidden="false" customHeight="true" outlineLevel="0" collapsed="false">
      <c r="A22" s="6" t="s">
        <v>645</v>
      </c>
      <c r="B22" s="6" t="s">
        <v>617</v>
      </c>
      <c r="C22" s="16" t="s">
        <v>646</v>
      </c>
      <c r="D22" s="16" t="s">
        <v>647</v>
      </c>
      <c r="E22" s="17" t="s">
        <v>588</v>
      </c>
      <c r="F22" s="17" t="s">
        <v>577</v>
      </c>
      <c r="G22" s="16" t="s">
        <v>648</v>
      </c>
    </row>
    <row r="23" customFormat="false" ht="15" hidden="false" customHeight="true" outlineLevel="0" collapsed="false">
      <c r="A23" s="6" t="s">
        <v>649</v>
      </c>
      <c r="B23" s="6" t="s">
        <v>617</v>
      </c>
      <c r="C23" s="16" t="s">
        <v>650</v>
      </c>
      <c r="D23" s="16" t="s">
        <v>651</v>
      </c>
      <c r="E23" s="17" t="s">
        <v>585</v>
      </c>
      <c r="F23" s="17" t="s">
        <v>577</v>
      </c>
      <c r="G23" s="16" t="s">
        <v>652</v>
      </c>
    </row>
    <row r="24" customFormat="false" ht="23.25" hidden="false" customHeight="true" outlineLevel="0" collapsed="false">
      <c r="A24" s="6" t="s">
        <v>653</v>
      </c>
      <c r="B24" s="6" t="s">
        <v>617</v>
      </c>
      <c r="C24" s="16" t="s">
        <v>654</v>
      </c>
      <c r="D24" s="16" t="s">
        <v>655</v>
      </c>
      <c r="E24" s="6" t="s">
        <v>576</v>
      </c>
      <c r="F24" s="6" t="s">
        <v>577</v>
      </c>
      <c r="G24" s="16" t="s">
        <v>656</v>
      </c>
    </row>
    <row r="25" customFormat="false" ht="23.25" hidden="false" customHeight="true" outlineLevel="0" collapsed="false">
      <c r="A25" s="6" t="s">
        <v>657</v>
      </c>
      <c r="B25" s="6" t="s">
        <v>617</v>
      </c>
      <c r="C25" s="16" t="s">
        <v>658</v>
      </c>
      <c r="D25" s="16" t="s">
        <v>659</v>
      </c>
      <c r="E25" s="6" t="s">
        <v>588</v>
      </c>
      <c r="F25" s="6" t="s">
        <v>577</v>
      </c>
      <c r="G25" s="16" t="s">
        <v>660</v>
      </c>
    </row>
    <row r="26" customFormat="false" ht="23.25" hidden="false" customHeight="true" outlineLevel="0" collapsed="false">
      <c r="A26" s="6" t="s">
        <v>661</v>
      </c>
      <c r="B26" s="6" t="s">
        <v>617</v>
      </c>
      <c r="C26" s="16" t="s">
        <v>662</v>
      </c>
      <c r="D26" s="16" t="s">
        <v>663</v>
      </c>
      <c r="E26" s="6" t="s">
        <v>585</v>
      </c>
      <c r="F26" s="6" t="s">
        <v>577</v>
      </c>
      <c r="G26" s="16" t="s">
        <v>664</v>
      </c>
    </row>
    <row r="27" customFormat="false" ht="23.25" hidden="false" customHeight="true" outlineLevel="0" collapsed="false">
      <c r="A27" s="6" t="s">
        <v>665</v>
      </c>
      <c r="B27" s="6" t="s">
        <v>617</v>
      </c>
      <c r="C27" s="16" t="s">
        <v>666</v>
      </c>
      <c r="D27" s="16" t="s">
        <v>667</v>
      </c>
      <c r="E27" s="6" t="s">
        <v>576</v>
      </c>
      <c r="F27" s="6" t="s">
        <v>577</v>
      </c>
      <c r="G27" s="16" t="s">
        <v>668</v>
      </c>
    </row>
    <row r="28" customFormat="false" ht="23.25" hidden="false" customHeight="true" outlineLevel="0" collapsed="false">
      <c r="A28" s="6" t="s">
        <v>669</v>
      </c>
      <c r="B28" s="6" t="s">
        <v>39</v>
      </c>
      <c r="C28" s="16" t="s">
        <v>580</v>
      </c>
      <c r="D28" s="16" t="s">
        <v>670</v>
      </c>
      <c r="E28" s="6" t="s">
        <v>576</v>
      </c>
      <c r="F28" s="6" t="s">
        <v>577</v>
      </c>
      <c r="G28" s="16" t="s">
        <v>671</v>
      </c>
    </row>
    <row r="29" customFormat="false" ht="23.25" hidden="false" customHeight="true" outlineLevel="0" collapsed="false">
      <c r="A29" s="6" t="s">
        <v>672</v>
      </c>
      <c r="B29" s="6" t="s">
        <v>43</v>
      </c>
      <c r="C29" s="16" t="s">
        <v>583</v>
      </c>
      <c r="D29" s="16" t="s">
        <v>673</v>
      </c>
      <c r="E29" s="6" t="s">
        <v>588</v>
      </c>
      <c r="F29" s="6" t="s">
        <v>577</v>
      </c>
      <c r="G29" s="16" t="s">
        <v>674</v>
      </c>
    </row>
    <row r="30" customFormat="false" ht="23.25" hidden="false" customHeight="true" outlineLevel="0" collapsed="false">
      <c r="A30" s="6" t="s">
        <v>675</v>
      </c>
      <c r="B30" s="6" t="s">
        <v>43</v>
      </c>
      <c r="C30" s="16" t="s">
        <v>594</v>
      </c>
      <c r="D30" s="16" t="s">
        <v>676</v>
      </c>
      <c r="E30" s="6" t="s">
        <v>588</v>
      </c>
      <c r="F30" s="6" t="s">
        <v>577</v>
      </c>
      <c r="G30" s="16" t="s">
        <v>677</v>
      </c>
    </row>
    <row r="31" customFormat="false" ht="45.75" hidden="false" customHeight="true" outlineLevel="0" collapsed="false">
      <c r="A31" s="6" t="s">
        <v>678</v>
      </c>
      <c r="B31" s="6" t="s">
        <v>47</v>
      </c>
      <c r="C31" s="16" t="s">
        <v>679</v>
      </c>
      <c r="D31" s="16" t="s">
        <v>680</v>
      </c>
      <c r="E31" s="6" t="s">
        <v>576</v>
      </c>
      <c r="F31" s="6" t="s">
        <v>577</v>
      </c>
      <c r="G31" s="16" t="s">
        <v>681</v>
      </c>
    </row>
    <row r="32" customFormat="false" ht="23.25" hidden="false" customHeight="true" outlineLevel="0" collapsed="false">
      <c r="A32" s="6" t="s">
        <v>682</v>
      </c>
      <c r="B32" s="6" t="s">
        <v>683</v>
      </c>
      <c r="C32" s="16" t="s">
        <v>639</v>
      </c>
      <c r="D32" s="16" t="s">
        <v>684</v>
      </c>
      <c r="E32" s="6" t="s">
        <v>576</v>
      </c>
      <c r="F32" s="6" t="s">
        <v>577</v>
      </c>
      <c r="G32" s="16" t="s">
        <v>685</v>
      </c>
    </row>
    <row r="33" customFormat="false" ht="23.25" hidden="false" customHeight="true" outlineLevel="0" collapsed="false">
      <c r="A33" s="6" t="s">
        <v>686</v>
      </c>
      <c r="B33" s="6" t="s">
        <v>683</v>
      </c>
      <c r="C33" s="16" t="s">
        <v>687</v>
      </c>
      <c r="D33" s="16" t="s">
        <v>688</v>
      </c>
      <c r="E33" s="6" t="s">
        <v>576</v>
      </c>
      <c r="F33" s="6" t="s">
        <v>577</v>
      </c>
      <c r="G33" s="16" t="s">
        <v>689</v>
      </c>
    </row>
    <row r="34" customFormat="false" ht="23.25" hidden="false" customHeight="true" outlineLevel="0" collapsed="false">
      <c r="A34" s="6" t="s">
        <v>690</v>
      </c>
      <c r="B34" s="6" t="s">
        <v>617</v>
      </c>
      <c r="C34" s="16" t="s">
        <v>691</v>
      </c>
      <c r="D34" s="16" t="s">
        <v>692</v>
      </c>
      <c r="E34" s="6" t="s">
        <v>585</v>
      </c>
      <c r="F34" s="6" t="s">
        <v>693</v>
      </c>
      <c r="G34" s="16" t="s">
        <v>694</v>
      </c>
    </row>
    <row r="35" customFormat="false" ht="34.5" hidden="false" customHeight="true" outlineLevel="0" collapsed="false">
      <c r="A35" s="6" t="s">
        <v>695</v>
      </c>
      <c r="B35" s="6" t="s">
        <v>617</v>
      </c>
      <c r="C35" s="16" t="s">
        <v>696</v>
      </c>
      <c r="D35" s="16" t="s">
        <v>697</v>
      </c>
      <c r="E35" s="6" t="s">
        <v>585</v>
      </c>
      <c r="F35" s="6" t="s">
        <v>693</v>
      </c>
      <c r="G35" s="16" t="s">
        <v>698</v>
      </c>
    </row>
    <row r="36" customFormat="false" ht="15" hidden="false" customHeight="true" outlineLevel="0" collapsed="false">
      <c r="A36" s="6" t="s">
        <v>699</v>
      </c>
      <c r="B36" s="6" t="s">
        <v>617</v>
      </c>
      <c r="C36" s="16" t="s">
        <v>696</v>
      </c>
      <c r="D36" s="16" t="s">
        <v>700</v>
      </c>
      <c r="E36" s="6" t="s">
        <v>585</v>
      </c>
      <c r="F36" s="6" t="s">
        <v>577</v>
      </c>
      <c r="G36" s="16" t="s">
        <v>701</v>
      </c>
    </row>
    <row r="37" customFormat="false" ht="34.5" hidden="false" customHeight="true" outlineLevel="0" collapsed="false">
      <c r="A37" s="21" t="s">
        <v>702</v>
      </c>
      <c r="B37" s="21" t="s">
        <v>56</v>
      </c>
      <c r="C37" s="21" t="s">
        <v>703</v>
      </c>
      <c r="D37" s="16" t="s">
        <v>704</v>
      </c>
      <c r="E37" s="21" t="s">
        <v>588</v>
      </c>
      <c r="F37" s="21" t="s">
        <v>577</v>
      </c>
      <c r="G37" s="16" t="s">
        <v>705</v>
      </c>
    </row>
    <row r="38" customFormat="false" ht="34.5" hidden="false" customHeight="true" outlineLevel="0" collapsed="false">
      <c r="A38" s="21" t="s">
        <v>706</v>
      </c>
      <c r="B38" s="21" t="s">
        <v>707</v>
      </c>
      <c r="C38" s="21" t="s">
        <v>708</v>
      </c>
      <c r="D38" s="16" t="s">
        <v>709</v>
      </c>
      <c r="E38" s="21" t="s">
        <v>585</v>
      </c>
      <c r="F38" s="21" t="s">
        <v>693</v>
      </c>
      <c r="G38" s="16" t="s">
        <v>710</v>
      </c>
    </row>
    <row r="39" customFormat="false" ht="45.75" hidden="false" customHeight="true" outlineLevel="0" collapsed="false">
      <c r="A39" s="21" t="s">
        <v>711</v>
      </c>
      <c r="B39" s="21" t="s">
        <v>52</v>
      </c>
      <c r="C39" s="21" t="s">
        <v>591</v>
      </c>
      <c r="D39" s="16" t="s">
        <v>712</v>
      </c>
      <c r="E39" s="21" t="s">
        <v>576</v>
      </c>
      <c r="F39" s="21" t="s">
        <v>577</v>
      </c>
      <c r="G39" s="16" t="s">
        <v>713</v>
      </c>
    </row>
    <row r="40" customFormat="false" ht="23.25" hidden="false" customHeight="true" outlineLevel="0" collapsed="false">
      <c r="A40" s="21" t="s">
        <v>714</v>
      </c>
      <c r="B40" s="21" t="s">
        <v>645</v>
      </c>
      <c r="C40" s="21" t="s">
        <v>715</v>
      </c>
      <c r="D40" s="16" t="s">
        <v>716</v>
      </c>
      <c r="E40" s="21" t="s">
        <v>588</v>
      </c>
      <c r="F40" s="21" t="s">
        <v>693</v>
      </c>
      <c r="G40" s="16" t="s">
        <v>717</v>
      </c>
    </row>
    <row r="41" customFormat="false" ht="34.5" hidden="false" customHeight="true" outlineLevel="0" collapsed="false">
      <c r="A41" s="21" t="s">
        <v>718</v>
      </c>
      <c r="B41" s="21" t="s">
        <v>76</v>
      </c>
      <c r="C41" s="21" t="s">
        <v>719</v>
      </c>
      <c r="D41" s="16" t="s">
        <v>720</v>
      </c>
      <c r="E41" s="21" t="s">
        <v>588</v>
      </c>
      <c r="F41" s="21" t="s">
        <v>577</v>
      </c>
      <c r="G41" s="16" t="s">
        <v>721</v>
      </c>
    </row>
    <row r="42" customFormat="false" ht="34.5" hidden="false" customHeight="true" outlineLevel="0" collapsed="false">
      <c r="A42" s="21" t="s">
        <v>722</v>
      </c>
      <c r="B42" s="21" t="s">
        <v>76</v>
      </c>
      <c r="C42" s="21" t="s">
        <v>723</v>
      </c>
      <c r="D42" s="16" t="s">
        <v>724</v>
      </c>
      <c r="E42" s="21" t="s">
        <v>585</v>
      </c>
      <c r="F42" s="21" t="s">
        <v>577</v>
      </c>
      <c r="G42" s="16" t="s">
        <v>725</v>
      </c>
    </row>
    <row r="43" customFormat="false" ht="23.25" hidden="false" customHeight="true" outlineLevel="0" collapsed="false">
      <c r="A43" s="21" t="s">
        <v>726</v>
      </c>
      <c r="B43" s="21" t="s">
        <v>84</v>
      </c>
      <c r="C43" s="21" t="s">
        <v>727</v>
      </c>
      <c r="D43" s="16" t="s">
        <v>728</v>
      </c>
      <c r="E43" s="21" t="s">
        <v>585</v>
      </c>
      <c r="F43" s="21" t="s">
        <v>577</v>
      </c>
      <c r="G43" s="16" t="s">
        <v>729</v>
      </c>
    </row>
    <row r="44" customFormat="false" ht="23.25" hidden="false" customHeight="true" outlineLevel="0" collapsed="false">
      <c r="A44" s="21" t="s">
        <v>730</v>
      </c>
      <c r="B44" s="21" t="s">
        <v>76</v>
      </c>
      <c r="C44" s="21" t="s">
        <v>731</v>
      </c>
      <c r="D44" s="16" t="s">
        <v>732</v>
      </c>
      <c r="E44" s="21" t="s">
        <v>585</v>
      </c>
      <c r="F44" s="21" t="s">
        <v>577</v>
      </c>
      <c r="G44" s="16" t="s">
        <v>733</v>
      </c>
    </row>
    <row r="45" customFormat="false" ht="34.5" hidden="false" customHeight="true" outlineLevel="0" collapsed="false">
      <c r="A45" s="21" t="s">
        <v>734</v>
      </c>
      <c r="B45" s="21" t="s">
        <v>184</v>
      </c>
      <c r="C45" s="21" t="s">
        <v>735</v>
      </c>
      <c r="D45" s="16" t="s">
        <v>736</v>
      </c>
      <c r="E45" s="21" t="s">
        <v>576</v>
      </c>
      <c r="F45" s="21" t="s">
        <v>577</v>
      </c>
      <c r="G45" s="16" t="s">
        <v>737</v>
      </c>
    </row>
    <row r="46" customFormat="false" ht="23.25" hidden="false" customHeight="true" outlineLevel="0" collapsed="false">
      <c r="A46" s="21" t="s">
        <v>738</v>
      </c>
      <c r="B46" s="21" t="s">
        <v>80</v>
      </c>
      <c r="C46" s="21" t="s">
        <v>739</v>
      </c>
      <c r="D46" s="16" t="s">
        <v>740</v>
      </c>
      <c r="E46" s="21" t="s">
        <v>576</v>
      </c>
      <c r="F46" s="21" t="s">
        <v>577</v>
      </c>
      <c r="G46" s="16" t="s">
        <v>741</v>
      </c>
    </row>
    <row r="47" customFormat="false" ht="23.25" hidden="false" customHeight="true" outlineLevel="0" collapsed="false">
      <c r="A47" s="21" t="s">
        <v>742</v>
      </c>
      <c r="B47" s="21" t="s">
        <v>184</v>
      </c>
      <c r="C47" s="21" t="s">
        <v>743</v>
      </c>
      <c r="D47" s="16" t="s">
        <v>744</v>
      </c>
      <c r="E47" s="21" t="s">
        <v>588</v>
      </c>
      <c r="F47" s="21" t="s">
        <v>577</v>
      </c>
      <c r="G47" s="16" t="s">
        <v>745</v>
      </c>
    </row>
    <row r="48" customFormat="false" ht="34.5" hidden="false" customHeight="true" outlineLevel="0" collapsed="false">
      <c r="A48" s="21" t="s">
        <v>746</v>
      </c>
      <c r="B48" s="21" t="s">
        <v>184</v>
      </c>
      <c r="C48" s="21" t="s">
        <v>639</v>
      </c>
      <c r="D48" s="16" t="s">
        <v>747</v>
      </c>
      <c r="E48" s="21" t="s">
        <v>588</v>
      </c>
      <c r="F48" s="21" t="s">
        <v>577</v>
      </c>
      <c r="G48" s="16" t="s">
        <v>748</v>
      </c>
    </row>
    <row r="49" customFormat="false" ht="34.5" hidden="false" customHeight="true" outlineLevel="0" collapsed="false">
      <c r="A49" s="21" t="s">
        <v>749</v>
      </c>
      <c r="B49" s="21" t="s">
        <v>208</v>
      </c>
      <c r="C49" s="21" t="s">
        <v>750</v>
      </c>
      <c r="D49" s="16" t="s">
        <v>751</v>
      </c>
      <c r="E49" s="21" t="s">
        <v>585</v>
      </c>
      <c r="F49" s="21" t="s">
        <v>577</v>
      </c>
      <c r="G49" s="16" t="s">
        <v>752</v>
      </c>
    </row>
    <row r="50" customFormat="false" ht="34.5" hidden="false" customHeight="true" outlineLevel="0" collapsed="false">
      <c r="A50" s="21" t="s">
        <v>753</v>
      </c>
      <c r="B50" s="21" t="s">
        <v>232</v>
      </c>
      <c r="C50" s="21" t="s">
        <v>754</v>
      </c>
      <c r="D50" s="16" t="s">
        <v>755</v>
      </c>
      <c r="E50" s="21" t="s">
        <v>576</v>
      </c>
      <c r="F50" s="21" t="s">
        <v>577</v>
      </c>
      <c r="G50" s="16" t="s">
        <v>756</v>
      </c>
    </row>
    <row r="51" customFormat="false" ht="23.25" hidden="false" customHeight="true" outlineLevel="0" collapsed="false">
      <c r="A51" s="21" t="s">
        <v>757</v>
      </c>
      <c r="B51" s="21" t="s">
        <v>232</v>
      </c>
      <c r="C51" s="21" t="s">
        <v>758</v>
      </c>
      <c r="D51" s="16" t="s">
        <v>759</v>
      </c>
      <c r="E51" s="21" t="s">
        <v>588</v>
      </c>
      <c r="F51" s="21" t="s">
        <v>577</v>
      </c>
      <c r="G51" s="16" t="s">
        <v>760</v>
      </c>
    </row>
    <row r="52" customFormat="false" ht="23.25" hidden="false" customHeight="true" outlineLevel="0" collapsed="false">
      <c r="A52" s="21" t="s">
        <v>761</v>
      </c>
      <c r="B52" s="21" t="s">
        <v>232</v>
      </c>
      <c r="C52" s="21" t="s">
        <v>727</v>
      </c>
      <c r="D52" s="16" t="s">
        <v>762</v>
      </c>
      <c r="E52" s="21" t="s">
        <v>585</v>
      </c>
      <c r="F52" s="21" t="s">
        <v>577</v>
      </c>
      <c r="G52" s="16" t="s">
        <v>763</v>
      </c>
    </row>
    <row r="53" customFormat="false" ht="23.25" hidden="false" customHeight="true" outlineLevel="0" collapsed="false">
      <c r="A53" s="21" t="s">
        <v>764</v>
      </c>
      <c r="B53" s="21" t="s">
        <v>232</v>
      </c>
      <c r="C53" s="21" t="s">
        <v>765</v>
      </c>
      <c r="D53" s="16" t="s">
        <v>766</v>
      </c>
      <c r="E53" s="21" t="s">
        <v>588</v>
      </c>
      <c r="F53" s="21" t="s">
        <v>577</v>
      </c>
      <c r="G53" s="16" t="s">
        <v>767</v>
      </c>
    </row>
    <row r="54" customFormat="false" ht="23.25" hidden="false" customHeight="true" outlineLevel="0" collapsed="false">
      <c r="A54" s="21" t="s">
        <v>768</v>
      </c>
      <c r="B54" s="21" t="s">
        <v>232</v>
      </c>
      <c r="C54" s="21" t="s">
        <v>769</v>
      </c>
      <c r="D54" s="16" t="s">
        <v>770</v>
      </c>
      <c r="E54" s="21" t="s">
        <v>576</v>
      </c>
      <c r="F54" s="21" t="s">
        <v>577</v>
      </c>
      <c r="G54" s="16" t="s">
        <v>771</v>
      </c>
    </row>
    <row r="55" customFormat="false" ht="15" hidden="false" customHeight="true" outlineLevel="0" collapsed="false">
      <c r="A55" s="21" t="s">
        <v>772</v>
      </c>
      <c r="B55" s="21" t="s">
        <v>232</v>
      </c>
      <c r="C55" s="21" t="s">
        <v>773</v>
      </c>
      <c r="D55" s="16" t="s">
        <v>774</v>
      </c>
      <c r="E55" s="21" t="s">
        <v>588</v>
      </c>
      <c r="F55" s="21" t="s">
        <v>577</v>
      </c>
      <c r="G55" s="16" t="s">
        <v>775</v>
      </c>
    </row>
    <row r="56" customFormat="false" ht="23.25" hidden="false" customHeight="true" outlineLevel="0" collapsed="false">
      <c r="A56" s="21" t="s">
        <v>776</v>
      </c>
      <c r="B56" s="21" t="s">
        <v>232</v>
      </c>
      <c r="C56" s="21" t="s">
        <v>765</v>
      </c>
      <c r="D56" s="16" t="s">
        <v>777</v>
      </c>
      <c r="E56" s="21" t="s">
        <v>588</v>
      </c>
      <c r="F56" s="21" t="s">
        <v>577</v>
      </c>
      <c r="G56" s="16" t="s">
        <v>778</v>
      </c>
    </row>
    <row r="57" customFormat="false" ht="23.25" hidden="false" customHeight="true" outlineLevel="0" collapsed="false">
      <c r="A57" s="21" t="s">
        <v>779</v>
      </c>
      <c r="B57" s="21" t="s">
        <v>232</v>
      </c>
      <c r="C57" s="21" t="s">
        <v>780</v>
      </c>
      <c r="D57" s="16" t="s">
        <v>781</v>
      </c>
      <c r="E57" s="21" t="s">
        <v>588</v>
      </c>
      <c r="F57" s="21" t="s">
        <v>577</v>
      </c>
      <c r="G57" s="16" t="s">
        <v>782</v>
      </c>
    </row>
    <row r="58" customFormat="false" ht="34.5" hidden="false" customHeight="true" outlineLevel="0" collapsed="false">
      <c r="A58" s="21" t="s">
        <v>783</v>
      </c>
      <c r="B58" s="21" t="s">
        <v>232</v>
      </c>
      <c r="C58" s="21" t="s">
        <v>784</v>
      </c>
      <c r="D58" s="16" t="s">
        <v>785</v>
      </c>
      <c r="E58" s="21" t="s">
        <v>576</v>
      </c>
      <c r="F58" s="21" t="s">
        <v>577</v>
      </c>
      <c r="G58" s="16" t="s">
        <v>786</v>
      </c>
    </row>
    <row r="59" customFormat="false" ht="23.25" hidden="false" customHeight="true" outlineLevel="0" collapsed="false">
      <c r="A59" s="21" t="s">
        <v>787</v>
      </c>
      <c r="B59" s="21" t="s">
        <v>232</v>
      </c>
      <c r="C59" s="21" t="s">
        <v>788</v>
      </c>
      <c r="D59" s="16" t="s">
        <v>789</v>
      </c>
      <c r="E59" s="21" t="s">
        <v>588</v>
      </c>
      <c r="F59" s="21" t="s">
        <v>577</v>
      </c>
      <c r="G59" s="16" t="s">
        <v>790</v>
      </c>
    </row>
    <row r="60" customFormat="false" ht="34.5" hidden="false" customHeight="true" outlineLevel="0" collapsed="false">
      <c r="A60" s="21" t="s">
        <v>791</v>
      </c>
      <c r="B60" s="21" t="s">
        <v>232</v>
      </c>
      <c r="C60" s="21" t="s">
        <v>792</v>
      </c>
      <c r="D60" s="16" t="s">
        <v>793</v>
      </c>
      <c r="E60" s="21" t="s">
        <v>588</v>
      </c>
      <c r="F60" s="21" t="s">
        <v>632</v>
      </c>
      <c r="G60" s="16" t="s">
        <v>794</v>
      </c>
    </row>
    <row r="61" customFormat="false" ht="23.25" hidden="false" customHeight="true" outlineLevel="0" collapsed="false">
      <c r="A61" s="21" t="s">
        <v>795</v>
      </c>
      <c r="B61" s="21" t="s">
        <v>232</v>
      </c>
      <c r="C61" s="21" t="s">
        <v>796</v>
      </c>
      <c r="D61" s="16" t="s">
        <v>797</v>
      </c>
      <c r="E61" s="21" t="s">
        <v>588</v>
      </c>
      <c r="F61" s="21" t="s">
        <v>577</v>
      </c>
      <c r="G61" s="16" t="s">
        <v>798</v>
      </c>
    </row>
    <row r="62" customFormat="false" ht="34.5" hidden="false" customHeight="true" outlineLevel="0" collapsed="false">
      <c r="A62" s="21" t="s">
        <v>799</v>
      </c>
      <c r="B62" s="21" t="s">
        <v>256</v>
      </c>
      <c r="C62" s="21" t="s">
        <v>800</v>
      </c>
      <c r="D62" s="16" t="s">
        <v>801</v>
      </c>
      <c r="E62" s="21" t="s">
        <v>576</v>
      </c>
      <c r="F62" s="21" t="s">
        <v>577</v>
      </c>
      <c r="G62" s="16" t="s">
        <v>802</v>
      </c>
    </row>
    <row r="63" customFormat="false" ht="34.5" hidden="false" customHeight="true" outlineLevel="0" collapsed="false">
      <c r="A63" s="21" t="s">
        <v>803</v>
      </c>
      <c r="B63" s="21" t="s">
        <v>268</v>
      </c>
      <c r="C63" s="21" t="s">
        <v>804</v>
      </c>
      <c r="D63" s="16" t="s">
        <v>805</v>
      </c>
      <c r="E63" s="21" t="s">
        <v>588</v>
      </c>
      <c r="F63" s="21" t="s">
        <v>577</v>
      </c>
      <c r="G63" s="16" t="s">
        <v>806</v>
      </c>
    </row>
    <row r="64" customFormat="false" ht="34.5" hidden="false" customHeight="true" outlineLevel="0" collapsed="false">
      <c r="A64" s="21" t="s">
        <v>807</v>
      </c>
      <c r="B64" s="21" t="s">
        <v>276</v>
      </c>
      <c r="C64" s="21" t="s">
        <v>808</v>
      </c>
      <c r="D64" s="16" t="s">
        <v>809</v>
      </c>
      <c r="E64" s="21" t="s">
        <v>588</v>
      </c>
      <c r="F64" s="21" t="s">
        <v>577</v>
      </c>
      <c r="G64" s="16" t="s">
        <v>810</v>
      </c>
    </row>
    <row r="65" customFormat="false" ht="23.25" hidden="false" customHeight="true" outlineLevel="0" collapsed="false">
      <c r="A65" s="21" t="s">
        <v>811</v>
      </c>
      <c r="B65" s="21" t="s">
        <v>264</v>
      </c>
      <c r="C65" s="21" t="s">
        <v>679</v>
      </c>
      <c r="D65" s="16" t="s">
        <v>812</v>
      </c>
      <c r="E65" s="21" t="s">
        <v>585</v>
      </c>
      <c r="F65" s="21" t="s">
        <v>577</v>
      </c>
      <c r="G65" s="16" t="s">
        <v>813</v>
      </c>
    </row>
    <row r="66" customFormat="false" ht="34.5" hidden="false" customHeight="true" outlineLevel="0" collapsed="false">
      <c r="A66" s="21" t="s">
        <v>814</v>
      </c>
      <c r="B66" s="21" t="s">
        <v>276</v>
      </c>
      <c r="C66" s="21" t="s">
        <v>815</v>
      </c>
      <c r="D66" s="16" t="s">
        <v>816</v>
      </c>
      <c r="E66" s="21" t="s">
        <v>588</v>
      </c>
      <c r="F66" s="21" t="s">
        <v>577</v>
      </c>
      <c r="G66" s="16" t="s">
        <v>817</v>
      </c>
    </row>
    <row r="67" customFormat="false" ht="57" hidden="false" customHeight="true" outlineLevel="0" collapsed="false">
      <c r="A67" s="21" t="s">
        <v>818</v>
      </c>
      <c r="B67" s="21" t="s">
        <v>272</v>
      </c>
      <c r="C67" s="21" t="s">
        <v>819</v>
      </c>
      <c r="D67" s="16" t="s">
        <v>820</v>
      </c>
      <c r="E67" s="21" t="s">
        <v>588</v>
      </c>
      <c r="F67" s="21" t="s">
        <v>577</v>
      </c>
      <c r="G67" s="16" t="s">
        <v>821</v>
      </c>
    </row>
    <row r="68" customFormat="false" ht="45.75" hidden="false" customHeight="true" outlineLevel="0" collapsed="false">
      <c r="A68" s="21" t="s">
        <v>822</v>
      </c>
      <c r="B68" s="21" t="s">
        <v>308</v>
      </c>
      <c r="C68" s="21" t="s">
        <v>823</v>
      </c>
      <c r="D68" s="16" t="s">
        <v>824</v>
      </c>
      <c r="E68" s="21" t="s">
        <v>576</v>
      </c>
      <c r="F68" s="21" t="s">
        <v>577</v>
      </c>
      <c r="G68" s="16" t="s">
        <v>825</v>
      </c>
    </row>
    <row r="69" customFormat="false" ht="34.5" hidden="false" customHeight="true" outlineLevel="0" collapsed="false">
      <c r="A69" s="21" t="s">
        <v>826</v>
      </c>
      <c r="B69" s="21" t="s">
        <v>308</v>
      </c>
      <c r="C69" s="21" t="s">
        <v>827</v>
      </c>
      <c r="D69" s="16" t="s">
        <v>828</v>
      </c>
      <c r="E69" s="21" t="s">
        <v>588</v>
      </c>
      <c r="F69" s="21" t="s">
        <v>577</v>
      </c>
      <c r="G69" s="16" t="s">
        <v>829</v>
      </c>
    </row>
    <row r="70" customFormat="false" ht="34.5" hidden="false" customHeight="true" outlineLevel="0" collapsed="false">
      <c r="A70" s="21" t="s">
        <v>830</v>
      </c>
      <c r="B70" s="21" t="s">
        <v>308</v>
      </c>
      <c r="C70" s="21" t="s">
        <v>831</v>
      </c>
      <c r="D70" s="16" t="s">
        <v>832</v>
      </c>
      <c r="E70" s="21" t="s">
        <v>588</v>
      </c>
      <c r="F70" s="21" t="s">
        <v>577</v>
      </c>
      <c r="G70" s="16" t="s">
        <v>833</v>
      </c>
    </row>
    <row r="71" customFormat="false" ht="68.25" hidden="false" customHeight="true" outlineLevel="0" collapsed="false">
      <c r="A71" s="21" t="s">
        <v>834</v>
      </c>
      <c r="B71" s="21" t="s">
        <v>264</v>
      </c>
      <c r="C71" s="21" t="s">
        <v>835</v>
      </c>
      <c r="D71" s="16" t="s">
        <v>836</v>
      </c>
      <c r="E71" s="21" t="s">
        <v>588</v>
      </c>
      <c r="F71" s="21" t="s">
        <v>632</v>
      </c>
      <c r="G71" s="16" t="s">
        <v>837</v>
      </c>
    </row>
    <row r="72" customFormat="false" ht="68.25" hidden="false" customHeight="true" outlineLevel="0" collapsed="false">
      <c r="A72" s="21" t="s">
        <v>838</v>
      </c>
      <c r="B72" s="21" t="s">
        <v>428</v>
      </c>
      <c r="C72" s="21" t="s">
        <v>839</v>
      </c>
      <c r="D72" s="16" t="s">
        <v>840</v>
      </c>
      <c r="E72" s="21" t="s">
        <v>576</v>
      </c>
      <c r="F72" s="21" t="s">
        <v>577</v>
      </c>
      <c r="G72" s="16" t="s">
        <v>841</v>
      </c>
    </row>
    <row r="73" customFormat="false" ht="57" hidden="false" customHeight="true" outlineLevel="0" collapsed="false">
      <c r="A73" s="21" t="s">
        <v>842</v>
      </c>
      <c r="B73" s="21" t="s">
        <v>428</v>
      </c>
      <c r="C73" s="21" t="s">
        <v>843</v>
      </c>
      <c r="D73" s="16" t="s">
        <v>844</v>
      </c>
      <c r="E73" s="21" t="s">
        <v>576</v>
      </c>
      <c r="F73" s="21" t="s">
        <v>577</v>
      </c>
      <c r="G73" s="16" t="s">
        <v>845</v>
      </c>
    </row>
    <row r="74" customFormat="false" ht="45.75" hidden="false" customHeight="true" outlineLevel="0" collapsed="false">
      <c r="A74" s="21" t="s">
        <v>846</v>
      </c>
      <c r="B74" s="21" t="s">
        <v>428</v>
      </c>
      <c r="C74" s="21" t="s">
        <v>784</v>
      </c>
      <c r="D74" s="16" t="s">
        <v>847</v>
      </c>
      <c r="E74" s="21" t="s">
        <v>588</v>
      </c>
      <c r="F74" s="21" t="s">
        <v>577</v>
      </c>
      <c r="G74" s="16" t="s">
        <v>848</v>
      </c>
    </row>
    <row r="75" customFormat="false" ht="57" hidden="false" customHeight="true" outlineLevel="0" collapsed="false">
      <c r="A75" s="21" t="s">
        <v>849</v>
      </c>
      <c r="B75" s="21" t="s">
        <v>352</v>
      </c>
      <c r="C75" s="21" t="s">
        <v>850</v>
      </c>
      <c r="D75" s="16" t="s">
        <v>851</v>
      </c>
      <c r="E75" s="21" t="s">
        <v>576</v>
      </c>
      <c r="F75" s="21" t="s">
        <v>577</v>
      </c>
      <c r="G75" s="16" t="s">
        <v>852</v>
      </c>
    </row>
    <row r="76" customFormat="false" ht="34.5" hidden="false" customHeight="true" outlineLevel="0" collapsed="false">
      <c r="A76" s="21" t="s">
        <v>853</v>
      </c>
      <c r="B76" s="21" t="s">
        <v>352</v>
      </c>
      <c r="C76" s="21" t="s">
        <v>854</v>
      </c>
      <c r="D76" s="16" t="s">
        <v>855</v>
      </c>
      <c r="E76" s="21" t="s">
        <v>576</v>
      </c>
      <c r="F76" s="21" t="s">
        <v>577</v>
      </c>
      <c r="G76" s="16" t="s">
        <v>856</v>
      </c>
    </row>
    <row r="77" customFormat="false" ht="34.5" hidden="false" customHeight="true" outlineLevel="0" collapsed="false">
      <c r="A77" s="21" t="s">
        <v>857</v>
      </c>
      <c r="B77" s="21" t="s">
        <v>352</v>
      </c>
      <c r="C77" s="21" t="s">
        <v>858</v>
      </c>
      <c r="D77" s="16" t="s">
        <v>859</v>
      </c>
      <c r="E77" s="21" t="s">
        <v>588</v>
      </c>
      <c r="F77" s="21" t="s">
        <v>693</v>
      </c>
      <c r="G77" s="16" t="s">
        <v>860</v>
      </c>
    </row>
    <row r="78" customFormat="false" ht="34.5" hidden="false" customHeight="true" outlineLevel="0" collapsed="false">
      <c r="A78" s="21" t="s">
        <v>861</v>
      </c>
      <c r="B78" s="21" t="s">
        <v>862</v>
      </c>
      <c r="C78" s="21" t="s">
        <v>863</v>
      </c>
      <c r="D78" s="16" t="s">
        <v>864</v>
      </c>
      <c r="E78" s="21" t="s">
        <v>588</v>
      </c>
      <c r="F78" s="21" t="s">
        <v>693</v>
      </c>
      <c r="G78" s="16" t="s">
        <v>865</v>
      </c>
    </row>
    <row r="79" customFormat="false" ht="45.75" hidden="false" customHeight="true" outlineLevel="0" collapsed="false">
      <c r="A79" s="21" t="s">
        <v>866</v>
      </c>
      <c r="B79" s="21" t="s">
        <v>862</v>
      </c>
      <c r="C79" s="21" t="s">
        <v>867</v>
      </c>
      <c r="D79" s="16" t="s">
        <v>868</v>
      </c>
      <c r="E79" s="21" t="s">
        <v>588</v>
      </c>
      <c r="F79" s="21" t="s">
        <v>693</v>
      </c>
      <c r="G79" s="16" t="s">
        <v>869</v>
      </c>
    </row>
    <row r="80" customFormat="false" ht="68.25" hidden="false" customHeight="true" outlineLevel="0" collapsed="false">
      <c r="A80" s="21" t="s">
        <v>870</v>
      </c>
      <c r="B80" s="21" t="s">
        <v>380</v>
      </c>
      <c r="C80" s="21" t="s">
        <v>871</v>
      </c>
      <c r="D80" s="16" t="s">
        <v>872</v>
      </c>
      <c r="E80" s="21" t="s">
        <v>588</v>
      </c>
      <c r="F80" s="21" t="s">
        <v>577</v>
      </c>
      <c r="G80" s="16" t="s">
        <v>873</v>
      </c>
    </row>
    <row r="81" customFormat="false" ht="57" hidden="false" customHeight="true" outlineLevel="0" collapsed="false">
      <c r="A81" s="21" t="s">
        <v>874</v>
      </c>
      <c r="B81" s="21" t="s">
        <v>372</v>
      </c>
      <c r="C81" s="21" t="s">
        <v>875</v>
      </c>
      <c r="D81" s="16" t="s">
        <v>876</v>
      </c>
      <c r="E81" s="21" t="s">
        <v>588</v>
      </c>
      <c r="F81" s="21" t="s">
        <v>577</v>
      </c>
      <c r="G81" s="16" t="s">
        <v>877</v>
      </c>
    </row>
    <row r="82" customFormat="false" ht="68.25" hidden="false" customHeight="true" outlineLevel="0" collapsed="false">
      <c r="A82" s="21" t="s">
        <v>878</v>
      </c>
      <c r="B82" s="21" t="s">
        <v>368</v>
      </c>
      <c r="C82" s="21" t="s">
        <v>879</v>
      </c>
      <c r="D82" s="16" t="s">
        <v>880</v>
      </c>
      <c r="E82" s="21" t="s">
        <v>588</v>
      </c>
      <c r="F82" s="21" t="s">
        <v>577</v>
      </c>
      <c r="G82" s="16" t="s">
        <v>881</v>
      </c>
    </row>
    <row r="83" customFormat="false" ht="45.75" hidden="false" customHeight="true" outlineLevel="0" collapsed="false">
      <c r="A83" s="21" t="s">
        <v>882</v>
      </c>
      <c r="B83" s="21" t="s">
        <v>368</v>
      </c>
      <c r="C83" s="21" t="s">
        <v>883</v>
      </c>
      <c r="D83" s="16" t="s">
        <v>884</v>
      </c>
      <c r="E83" s="21" t="s">
        <v>585</v>
      </c>
      <c r="F83" s="21" t="s">
        <v>577</v>
      </c>
      <c r="G83" s="16" t="s">
        <v>885</v>
      </c>
    </row>
    <row r="84" customFormat="false" ht="45.75" hidden="false" customHeight="true" outlineLevel="0" collapsed="false">
      <c r="A84" s="21" t="s">
        <v>886</v>
      </c>
      <c r="B84" s="21" t="s">
        <v>352</v>
      </c>
      <c r="C84" s="21" t="s">
        <v>887</v>
      </c>
      <c r="D84" s="16" t="s">
        <v>888</v>
      </c>
      <c r="E84" s="21" t="s">
        <v>588</v>
      </c>
      <c r="F84" s="21" t="s">
        <v>577</v>
      </c>
      <c r="G84" s="16" t="s">
        <v>889</v>
      </c>
    </row>
    <row r="85" customFormat="false" ht="57" hidden="false" customHeight="true" outlineLevel="0" collapsed="false">
      <c r="A85" s="21" t="s">
        <v>890</v>
      </c>
      <c r="B85" s="21" t="s">
        <v>324</v>
      </c>
      <c r="C85" s="21" t="s">
        <v>891</v>
      </c>
      <c r="D85" s="16" t="s">
        <v>892</v>
      </c>
      <c r="E85" s="21" t="s">
        <v>576</v>
      </c>
      <c r="F85" s="21" t="s">
        <v>577</v>
      </c>
      <c r="G85" s="16" t="s">
        <v>893</v>
      </c>
    </row>
    <row r="86" customFormat="false" ht="45.75" hidden="false" customHeight="true" outlineLevel="0" collapsed="false">
      <c r="A86" s="21" t="s">
        <v>894</v>
      </c>
      <c r="B86" s="21" t="s">
        <v>324</v>
      </c>
      <c r="C86" s="21" t="s">
        <v>895</v>
      </c>
      <c r="D86" s="16" t="s">
        <v>896</v>
      </c>
      <c r="E86" s="21" t="s">
        <v>585</v>
      </c>
      <c r="F86" s="21" t="s">
        <v>577</v>
      </c>
      <c r="G86" s="16" t="s">
        <v>897</v>
      </c>
    </row>
    <row r="87" customFormat="false" ht="45.75" hidden="false" customHeight="true" outlineLevel="0" collapsed="false">
      <c r="A87" s="21" t="s">
        <v>898</v>
      </c>
      <c r="B87" s="21" t="s">
        <v>376</v>
      </c>
      <c r="C87" s="21" t="s">
        <v>899</v>
      </c>
      <c r="D87" s="16" t="s">
        <v>900</v>
      </c>
      <c r="E87" s="21" t="s">
        <v>588</v>
      </c>
      <c r="F87" s="21" t="s">
        <v>577</v>
      </c>
      <c r="G87" s="16" t="s">
        <v>901</v>
      </c>
    </row>
    <row r="88" customFormat="false" ht="68.25" hidden="false" customHeight="true" outlineLevel="0" collapsed="false">
      <c r="A88" s="21" t="s">
        <v>902</v>
      </c>
      <c r="B88" s="21" t="s">
        <v>380</v>
      </c>
      <c r="C88" s="21" t="s">
        <v>903</v>
      </c>
      <c r="D88" s="16" t="s">
        <v>904</v>
      </c>
      <c r="E88" s="21" t="s">
        <v>588</v>
      </c>
      <c r="F88" s="21" t="s">
        <v>577</v>
      </c>
      <c r="G88" s="16" t="s">
        <v>905</v>
      </c>
    </row>
    <row r="89" customFormat="false" ht="45.75" hidden="false" customHeight="true" outlineLevel="0" collapsed="false">
      <c r="A89" s="21" t="s">
        <v>906</v>
      </c>
      <c r="B89" s="21" t="s">
        <v>332</v>
      </c>
      <c r="C89" s="21" t="s">
        <v>907</v>
      </c>
      <c r="D89" s="16" t="s">
        <v>908</v>
      </c>
      <c r="E89" s="21" t="s">
        <v>585</v>
      </c>
      <c r="F89" s="21" t="s">
        <v>693</v>
      </c>
      <c r="G89" s="16" t="s">
        <v>909</v>
      </c>
    </row>
    <row r="90" customFormat="false" ht="79.5" hidden="false" customHeight="true" outlineLevel="0" collapsed="false">
      <c r="A90" s="21" t="s">
        <v>910</v>
      </c>
      <c r="B90" s="21" t="s">
        <v>280</v>
      </c>
      <c r="C90" s="21" t="s">
        <v>911</v>
      </c>
      <c r="D90" s="16" t="s">
        <v>912</v>
      </c>
      <c r="E90" s="21" t="s">
        <v>588</v>
      </c>
      <c r="F90" s="21" t="s">
        <v>577</v>
      </c>
      <c r="G90" s="16" t="s">
        <v>913</v>
      </c>
    </row>
    <row r="91" customFormat="false" ht="57" hidden="false" customHeight="true" outlineLevel="0" collapsed="false">
      <c r="A91" s="21" t="s">
        <v>914</v>
      </c>
      <c r="B91" s="21" t="s">
        <v>280</v>
      </c>
      <c r="C91" s="21" t="s">
        <v>911</v>
      </c>
      <c r="D91" s="16" t="s">
        <v>915</v>
      </c>
      <c r="E91" s="21" t="s">
        <v>588</v>
      </c>
      <c r="F91" s="21" t="s">
        <v>577</v>
      </c>
      <c r="G91" s="16" t="s">
        <v>916</v>
      </c>
    </row>
    <row r="92" customFormat="false" ht="102" hidden="false" customHeight="true" outlineLevel="0" collapsed="false">
      <c r="A92" s="21" t="s">
        <v>917</v>
      </c>
      <c r="B92" s="21" t="s">
        <v>292</v>
      </c>
      <c r="C92" s="21" t="s">
        <v>918</v>
      </c>
      <c r="D92" s="16" t="s">
        <v>919</v>
      </c>
      <c r="E92" s="21" t="s">
        <v>588</v>
      </c>
      <c r="F92" s="21" t="s">
        <v>577</v>
      </c>
      <c r="G92" s="16" t="s">
        <v>920</v>
      </c>
    </row>
    <row r="93" customFormat="false" ht="79.5" hidden="false" customHeight="true" outlineLevel="0" collapsed="false">
      <c r="A93" s="21" t="s">
        <v>921</v>
      </c>
      <c r="B93" s="21" t="s">
        <v>300</v>
      </c>
      <c r="C93" s="21" t="s">
        <v>922</v>
      </c>
      <c r="D93" s="16" t="s">
        <v>923</v>
      </c>
      <c r="E93" s="21" t="s">
        <v>588</v>
      </c>
      <c r="F93" s="21" t="s">
        <v>577</v>
      </c>
      <c r="G93" s="16" t="s">
        <v>924</v>
      </c>
    </row>
    <row r="94" customFormat="false" ht="157.5" hidden="false" customHeight="true" outlineLevel="0" collapsed="false">
      <c r="A94" s="21" t="s">
        <v>925</v>
      </c>
      <c r="B94" s="21" t="s">
        <v>292</v>
      </c>
      <c r="C94" s="21" t="s">
        <v>926</v>
      </c>
      <c r="D94" s="16" t="s">
        <v>927</v>
      </c>
      <c r="E94" s="21" t="s">
        <v>588</v>
      </c>
      <c r="F94" s="21" t="s">
        <v>577</v>
      </c>
      <c r="G94" s="16" t="s">
        <v>928</v>
      </c>
    </row>
    <row r="95" customFormat="false" ht="102" hidden="false" customHeight="true" outlineLevel="0" collapsed="false">
      <c r="A95" s="21" t="s">
        <v>929</v>
      </c>
      <c r="B95" s="21" t="s">
        <v>372</v>
      </c>
      <c r="C95" s="21" t="s">
        <v>930</v>
      </c>
      <c r="D95" s="16" t="s">
        <v>931</v>
      </c>
      <c r="E95" s="21" t="s">
        <v>588</v>
      </c>
      <c r="F95" s="21" t="s">
        <v>577</v>
      </c>
      <c r="G95" s="16" t="s">
        <v>932</v>
      </c>
    </row>
    <row r="96" customFormat="false" ht="57" hidden="false" customHeight="true" outlineLevel="0" collapsed="false">
      <c r="A96" s="21" t="s">
        <v>933</v>
      </c>
      <c r="B96" s="21" t="s">
        <v>47</v>
      </c>
      <c r="C96" s="21" t="s">
        <v>934</v>
      </c>
      <c r="D96" s="16" t="s">
        <v>935</v>
      </c>
      <c r="E96" s="21" t="s">
        <v>588</v>
      </c>
      <c r="F96" s="21" t="s">
        <v>577</v>
      </c>
      <c r="G96" s="16" t="s">
        <v>936</v>
      </c>
    </row>
    <row r="97" customFormat="false" ht="68.25" hidden="false" customHeight="true" outlineLevel="0" collapsed="false">
      <c r="A97" s="21" t="s">
        <v>937</v>
      </c>
      <c r="B97" s="21" t="s">
        <v>400</v>
      </c>
      <c r="C97" s="21" t="s">
        <v>938</v>
      </c>
      <c r="D97" s="16" t="s">
        <v>939</v>
      </c>
      <c r="E97" s="21" t="s">
        <v>588</v>
      </c>
      <c r="F97" s="21" t="s">
        <v>693</v>
      </c>
      <c r="G97" s="16" t="s">
        <v>940</v>
      </c>
    </row>
    <row r="98" customFormat="false" ht="68.25" hidden="false" customHeight="true" outlineLevel="0" collapsed="false">
      <c r="A98" s="21" t="s">
        <v>941</v>
      </c>
      <c r="B98" s="21" t="s">
        <v>516</v>
      </c>
      <c r="C98" s="21" t="s">
        <v>942</v>
      </c>
      <c r="D98" s="16" t="s">
        <v>943</v>
      </c>
      <c r="E98" s="21" t="s">
        <v>588</v>
      </c>
      <c r="F98" s="21" t="s">
        <v>577</v>
      </c>
      <c r="G98" s="16" t="s">
        <v>944</v>
      </c>
    </row>
    <row r="99" customFormat="false" ht="79.5" hidden="false" customHeight="true" outlineLevel="0" collapsed="false">
      <c r="A99" s="21" t="s">
        <v>945</v>
      </c>
      <c r="B99" s="21" t="s">
        <v>516</v>
      </c>
      <c r="C99" s="21" t="s">
        <v>946</v>
      </c>
      <c r="D99" s="16" t="s">
        <v>947</v>
      </c>
      <c r="E99" s="21" t="s">
        <v>588</v>
      </c>
      <c r="F99" s="21" t="s">
        <v>577</v>
      </c>
      <c r="G99" s="16" t="s">
        <v>948</v>
      </c>
    </row>
    <row r="100" customFormat="false" ht="57" hidden="false" customHeight="true" outlineLevel="0" collapsed="false">
      <c r="A100" s="21" t="s">
        <v>949</v>
      </c>
      <c r="B100" s="21" t="s">
        <v>500</v>
      </c>
      <c r="C100" s="21" t="s">
        <v>950</v>
      </c>
      <c r="D100" s="16" t="s">
        <v>951</v>
      </c>
      <c r="E100" s="21" t="s">
        <v>585</v>
      </c>
      <c r="F100" s="21" t="s">
        <v>577</v>
      </c>
      <c r="G100" s="16" t="s">
        <v>952</v>
      </c>
    </row>
    <row r="101" customFormat="false" ht="68.25" hidden="false" customHeight="true" outlineLevel="0" collapsed="false">
      <c r="A101" s="21" t="s">
        <v>953</v>
      </c>
      <c r="B101" s="21" t="s">
        <v>52</v>
      </c>
      <c r="C101" s="21" t="s">
        <v>954</v>
      </c>
      <c r="D101" s="16" t="s">
        <v>955</v>
      </c>
      <c r="E101" s="21" t="s">
        <v>576</v>
      </c>
      <c r="F101" s="21" t="s">
        <v>577</v>
      </c>
      <c r="G101" s="16" t="s">
        <v>956</v>
      </c>
    </row>
    <row r="102" customFormat="false" ht="45.75" hidden="false" customHeight="true" outlineLevel="0" collapsed="false">
      <c r="A102" s="21" t="s">
        <v>957</v>
      </c>
      <c r="B102" s="21" t="s">
        <v>260</v>
      </c>
      <c r="C102" s="21" t="s">
        <v>591</v>
      </c>
      <c r="D102" s="16" t="s">
        <v>958</v>
      </c>
      <c r="E102" s="21" t="s">
        <v>585</v>
      </c>
      <c r="F102" s="21" t="s">
        <v>693</v>
      </c>
      <c r="G102" s="16" t="s">
        <v>959</v>
      </c>
    </row>
    <row r="103" customFormat="false" ht="90.75" hidden="false" customHeight="true" outlineLevel="0" collapsed="false">
      <c r="A103" s="21" t="s">
        <v>960</v>
      </c>
      <c r="B103" s="21" t="s">
        <v>617</v>
      </c>
      <c r="C103" s="21" t="s">
        <v>961</v>
      </c>
      <c r="D103" s="16" t="s">
        <v>962</v>
      </c>
      <c r="E103" s="21" t="s">
        <v>588</v>
      </c>
      <c r="F103" s="21" t="s">
        <v>632</v>
      </c>
      <c r="G103" s="16" t="s">
        <v>963</v>
      </c>
    </row>
    <row r="104" customFormat="false" ht="113.25" hidden="false" customHeight="true" outlineLevel="0" collapsed="false">
      <c r="A104" s="21" t="s">
        <v>964</v>
      </c>
      <c r="B104" s="21" t="s">
        <v>372</v>
      </c>
      <c r="C104" s="21" t="s">
        <v>965</v>
      </c>
      <c r="D104" s="16" t="s">
        <v>966</v>
      </c>
      <c r="E104" s="21" t="s">
        <v>576</v>
      </c>
      <c r="F104" s="21" t="s">
        <v>577</v>
      </c>
      <c r="G104" s="16" t="s">
        <v>967</v>
      </c>
    </row>
    <row r="105" customFormat="false" ht="124.5" hidden="false" customHeight="true" outlineLevel="0" collapsed="false">
      <c r="A105" s="21" t="s">
        <v>968</v>
      </c>
      <c r="B105" s="21" t="s">
        <v>372</v>
      </c>
      <c r="C105" s="21" t="s">
        <v>969</v>
      </c>
      <c r="D105" s="16" t="s">
        <v>970</v>
      </c>
      <c r="E105" s="21" t="s">
        <v>588</v>
      </c>
      <c r="F105" s="21" t="s">
        <v>577</v>
      </c>
      <c r="G105" s="16" t="s">
        <v>971</v>
      </c>
    </row>
    <row r="106" customFormat="false" ht="147" hidden="false" customHeight="true" outlineLevel="0" collapsed="false">
      <c r="A106" s="21" t="s">
        <v>972</v>
      </c>
      <c r="B106" s="21" t="s">
        <v>47</v>
      </c>
      <c r="C106" s="21" t="s">
        <v>973</v>
      </c>
      <c r="D106" s="16" t="s">
        <v>974</v>
      </c>
      <c r="E106" s="21" t="s">
        <v>588</v>
      </c>
      <c r="F106" s="21" t="s">
        <v>577</v>
      </c>
      <c r="G106" s="16" t="s">
        <v>975</v>
      </c>
    </row>
    <row r="107" customFormat="false" ht="68.25" hidden="false" customHeight="true" outlineLevel="0" collapsed="false">
      <c r="A107" s="21" t="s">
        <v>976</v>
      </c>
      <c r="B107" s="21" t="s">
        <v>76</v>
      </c>
      <c r="C107" s="21" t="s">
        <v>977</v>
      </c>
      <c r="D107" s="16" t="s">
        <v>978</v>
      </c>
      <c r="E107" s="21" t="s">
        <v>588</v>
      </c>
      <c r="F107" s="21" t="s">
        <v>577</v>
      </c>
      <c r="G107" s="16" t="s">
        <v>979</v>
      </c>
    </row>
    <row r="108" customFormat="false" ht="157.5" hidden="false" customHeight="true" outlineLevel="0" collapsed="false">
      <c r="A108" s="21" t="s">
        <v>980</v>
      </c>
      <c r="B108" s="21" t="s">
        <v>184</v>
      </c>
      <c r="C108" s="21" t="s">
        <v>981</v>
      </c>
      <c r="D108" s="16" t="s">
        <v>982</v>
      </c>
      <c r="E108" s="21" t="s">
        <v>588</v>
      </c>
      <c r="F108" s="21" t="s">
        <v>577</v>
      </c>
      <c r="G108" s="16" t="s">
        <v>983</v>
      </c>
    </row>
    <row r="109" customFormat="false" ht="147" hidden="false" customHeight="true" outlineLevel="0" collapsed="false">
      <c r="A109" s="21" t="s">
        <v>984</v>
      </c>
      <c r="B109" s="21" t="s">
        <v>56</v>
      </c>
      <c r="C109" s="21" t="s">
        <v>985</v>
      </c>
      <c r="D109" s="16" t="s">
        <v>986</v>
      </c>
      <c r="E109" s="21" t="s">
        <v>588</v>
      </c>
      <c r="F109" s="21" t="s">
        <v>577</v>
      </c>
      <c r="G109" s="16" t="s">
        <v>987</v>
      </c>
    </row>
    <row r="110" customFormat="false" ht="147" hidden="false" customHeight="true" outlineLevel="0" collapsed="false">
      <c r="A110" s="21" t="s">
        <v>988</v>
      </c>
      <c r="B110" s="21" t="s">
        <v>184</v>
      </c>
      <c r="C110" s="21" t="s">
        <v>989</v>
      </c>
      <c r="D110" s="16" t="s">
        <v>990</v>
      </c>
      <c r="E110" s="21" t="s">
        <v>588</v>
      </c>
      <c r="F110" s="21" t="s">
        <v>577</v>
      </c>
      <c r="G110" s="16" t="s">
        <v>991</v>
      </c>
    </row>
    <row r="111" customFormat="false" ht="113.25" hidden="false" customHeight="true" outlineLevel="0" collapsed="false">
      <c r="A111" s="21" t="s">
        <v>992</v>
      </c>
      <c r="B111" s="21" t="s">
        <v>500</v>
      </c>
      <c r="C111" s="21" t="s">
        <v>993</v>
      </c>
      <c r="D111" s="16" t="s">
        <v>994</v>
      </c>
      <c r="E111" s="21" t="s">
        <v>588</v>
      </c>
      <c r="F111" s="21" t="s">
        <v>577</v>
      </c>
      <c r="G111" s="16" t="s">
        <v>995</v>
      </c>
    </row>
    <row r="112" customFormat="false" ht="68.25" hidden="false" customHeight="true" outlineLevel="0" collapsed="false">
      <c r="A112" s="21" t="s">
        <v>996</v>
      </c>
      <c r="B112" s="21" t="s">
        <v>296</v>
      </c>
      <c r="C112" s="21" t="s">
        <v>997</v>
      </c>
      <c r="D112" s="16" t="s">
        <v>998</v>
      </c>
      <c r="E112" s="21" t="s">
        <v>585</v>
      </c>
      <c r="F112" s="21" t="s">
        <v>577</v>
      </c>
      <c r="G112" s="16" t="s">
        <v>999</v>
      </c>
    </row>
    <row r="113" customFormat="false" ht="102" hidden="false" customHeight="true" outlineLevel="0" collapsed="false">
      <c r="A113" s="21" t="s">
        <v>1000</v>
      </c>
      <c r="B113" s="21" t="s">
        <v>372</v>
      </c>
      <c r="C113" s="21" t="s">
        <v>1001</v>
      </c>
      <c r="D113" s="16" t="s">
        <v>1002</v>
      </c>
      <c r="E113" s="21" t="s">
        <v>585</v>
      </c>
      <c r="F113" s="21" t="s">
        <v>577</v>
      </c>
      <c r="G113" s="16" t="s">
        <v>1003</v>
      </c>
    </row>
    <row r="114" customFormat="false" ht="168.75" hidden="false" customHeight="true" outlineLevel="0" collapsed="false">
      <c r="A114" s="21" t="s">
        <v>1004</v>
      </c>
      <c r="B114" s="21" t="s">
        <v>532</v>
      </c>
      <c r="C114" s="21" t="s">
        <v>1005</v>
      </c>
      <c r="D114" s="16" t="s">
        <v>1006</v>
      </c>
      <c r="E114" s="21" t="s">
        <v>588</v>
      </c>
      <c r="F114" s="21" t="s">
        <v>577</v>
      </c>
      <c r="G114" s="16" t="s">
        <v>1007</v>
      </c>
    </row>
    <row r="115" customFormat="false" ht="79.5" hidden="false" customHeight="true" outlineLevel="0" collapsed="false">
      <c r="A115" s="21" t="s">
        <v>1008</v>
      </c>
      <c r="B115" s="21" t="s">
        <v>376</v>
      </c>
      <c r="C115" s="21" t="s">
        <v>1009</v>
      </c>
      <c r="D115" s="16" t="s">
        <v>1010</v>
      </c>
      <c r="E115" s="21" t="s">
        <v>576</v>
      </c>
      <c r="F115" s="21" t="s">
        <v>577</v>
      </c>
      <c r="G115" s="16" t="s">
        <v>1011</v>
      </c>
    </row>
    <row r="116" customFormat="false" ht="90.75" hidden="false" customHeight="true" outlineLevel="0" collapsed="false">
      <c r="A116" s="21" t="s">
        <v>1012</v>
      </c>
      <c r="B116" s="21" t="s">
        <v>532</v>
      </c>
      <c r="C116" s="21" t="s">
        <v>1013</v>
      </c>
      <c r="D116" s="16" t="s">
        <v>1014</v>
      </c>
      <c r="E116" s="21" t="s">
        <v>588</v>
      </c>
      <c r="F116" s="21" t="s">
        <v>577</v>
      </c>
      <c r="G116" s="16" t="s">
        <v>1015</v>
      </c>
    </row>
    <row r="117" customFormat="false" ht="68.25" hidden="false" customHeight="true" outlineLevel="0" collapsed="false">
      <c r="A117" s="21" t="s">
        <v>1016</v>
      </c>
      <c r="B117" s="21" t="s">
        <v>376</v>
      </c>
      <c r="C117" s="21" t="s">
        <v>1017</v>
      </c>
      <c r="D117" s="16" t="s">
        <v>1018</v>
      </c>
      <c r="E117" s="21" t="s">
        <v>588</v>
      </c>
      <c r="F117" s="21" t="s">
        <v>577</v>
      </c>
      <c r="G117" s="16" t="s">
        <v>1019</v>
      </c>
    </row>
    <row r="118" customFormat="false" ht="135.75" hidden="false" customHeight="true" outlineLevel="0" collapsed="false">
      <c r="A118" s="21" t="s">
        <v>1020</v>
      </c>
      <c r="B118" s="21" t="s">
        <v>376</v>
      </c>
      <c r="C118" s="21" t="s">
        <v>1021</v>
      </c>
      <c r="D118" s="16" t="s">
        <v>1022</v>
      </c>
      <c r="E118" s="21" t="s">
        <v>576</v>
      </c>
      <c r="F118" s="21" t="s">
        <v>577</v>
      </c>
      <c r="G118" s="16" t="s">
        <v>1023</v>
      </c>
    </row>
    <row r="119" customFormat="false" ht="45.75" hidden="false" customHeight="true" outlineLevel="0" collapsed="false">
      <c r="A119" s="21" t="s">
        <v>1024</v>
      </c>
      <c r="B119" s="21" t="s">
        <v>532</v>
      </c>
      <c r="C119" s="21" t="s">
        <v>1025</v>
      </c>
      <c r="D119" s="16" t="s">
        <v>1026</v>
      </c>
      <c r="E119" s="21" t="s">
        <v>585</v>
      </c>
      <c r="F119" s="21" t="s">
        <v>577</v>
      </c>
      <c r="G119" s="16" t="s">
        <v>1027</v>
      </c>
    </row>
    <row r="120" customFormat="false" ht="45.75" hidden="false" customHeight="true" outlineLevel="0" collapsed="false">
      <c r="A120" s="21" t="s">
        <v>1028</v>
      </c>
      <c r="B120" s="21" t="s">
        <v>376</v>
      </c>
      <c r="C120" s="21" t="s">
        <v>1029</v>
      </c>
      <c r="D120" s="16" t="s">
        <v>1030</v>
      </c>
      <c r="E120" s="21" t="s">
        <v>585</v>
      </c>
      <c r="F120" s="21" t="s">
        <v>577</v>
      </c>
      <c r="G120" s="16" t="s">
        <v>1031</v>
      </c>
    </row>
    <row r="121" customFormat="false" ht="79.5" hidden="false" customHeight="true" outlineLevel="0" collapsed="false">
      <c r="A121" s="21" t="s">
        <v>1032</v>
      </c>
      <c r="B121" s="21" t="s">
        <v>376</v>
      </c>
      <c r="C121" s="21" t="s">
        <v>1033</v>
      </c>
      <c r="D121" s="16" t="s">
        <v>1034</v>
      </c>
      <c r="E121" s="21" t="s">
        <v>576</v>
      </c>
      <c r="F121" s="21" t="s">
        <v>577</v>
      </c>
      <c r="G121" s="16" t="s">
        <v>1035</v>
      </c>
    </row>
    <row r="122" customFormat="false" ht="68.25" hidden="false" customHeight="true" outlineLevel="0" collapsed="false">
      <c r="A122" s="21" t="s">
        <v>1036</v>
      </c>
      <c r="B122" s="21" t="s">
        <v>376</v>
      </c>
      <c r="C122" s="21" t="s">
        <v>1037</v>
      </c>
      <c r="D122" s="16" t="s">
        <v>1038</v>
      </c>
      <c r="E122" s="21" t="s">
        <v>576</v>
      </c>
      <c r="F122" s="21" t="s">
        <v>577</v>
      </c>
      <c r="G122" s="16" t="s">
        <v>1039</v>
      </c>
    </row>
    <row r="123" customFormat="false" ht="102" hidden="false" customHeight="true" outlineLevel="0" collapsed="false">
      <c r="A123" s="21" t="s">
        <v>1040</v>
      </c>
      <c r="B123" s="21" t="s">
        <v>376</v>
      </c>
      <c r="C123" s="21" t="s">
        <v>1041</v>
      </c>
      <c r="D123" s="16" t="s">
        <v>1042</v>
      </c>
      <c r="E123" s="21" t="s">
        <v>576</v>
      </c>
      <c r="F123" s="21" t="s">
        <v>577</v>
      </c>
      <c r="G123" s="16" t="s">
        <v>1043</v>
      </c>
    </row>
    <row r="124" customFormat="false" ht="57" hidden="false" customHeight="true" outlineLevel="0" collapsed="false">
      <c r="A124" s="21" t="s">
        <v>1044</v>
      </c>
      <c r="B124" s="21" t="s">
        <v>376</v>
      </c>
      <c r="C124" s="21" t="s">
        <v>1045</v>
      </c>
      <c r="D124" s="16" t="s">
        <v>1046</v>
      </c>
      <c r="E124" s="21" t="s">
        <v>588</v>
      </c>
      <c r="F124" s="21" t="s">
        <v>1047</v>
      </c>
      <c r="G124" s="16" t="s">
        <v>1048</v>
      </c>
    </row>
    <row r="125" customFormat="false" ht="45.75" hidden="false" customHeight="true" outlineLevel="0" collapsed="false">
      <c r="A125" s="21" t="s">
        <v>1049</v>
      </c>
      <c r="B125" s="21" t="s">
        <v>376</v>
      </c>
      <c r="C125" s="21" t="s">
        <v>1050</v>
      </c>
      <c r="D125" s="16" t="s">
        <v>1051</v>
      </c>
      <c r="E125" s="21" t="s">
        <v>588</v>
      </c>
      <c r="F125" s="21" t="s">
        <v>1047</v>
      </c>
      <c r="G125" s="16" t="s">
        <v>1052</v>
      </c>
    </row>
    <row r="126" customFormat="false" ht="79.5" hidden="false" customHeight="true" outlineLevel="0" collapsed="false">
      <c r="A126" s="21" t="s">
        <v>1053</v>
      </c>
      <c r="B126" s="21" t="s">
        <v>376</v>
      </c>
      <c r="C126" s="21" t="s">
        <v>1054</v>
      </c>
      <c r="D126" s="16" t="s">
        <v>1055</v>
      </c>
      <c r="E126" s="21" t="s">
        <v>585</v>
      </c>
      <c r="F126" s="21" t="s">
        <v>1056</v>
      </c>
      <c r="G126" s="16" t="s">
        <v>1057</v>
      </c>
    </row>
    <row r="127" customFormat="false" ht="90.75" hidden="false" customHeight="true" outlineLevel="0" collapsed="false">
      <c r="A127" s="21" t="s">
        <v>1058</v>
      </c>
      <c r="B127" s="21" t="s">
        <v>532</v>
      </c>
      <c r="C127" s="21" t="s">
        <v>1059</v>
      </c>
      <c r="D127" s="16" t="s">
        <v>1060</v>
      </c>
      <c r="E127" s="21" t="s">
        <v>588</v>
      </c>
      <c r="F127" s="21" t="s">
        <v>1047</v>
      </c>
      <c r="G127" s="16" t="s">
        <v>1061</v>
      </c>
    </row>
    <row r="128" customFormat="false" ht="124.5" hidden="false" customHeight="true" outlineLevel="0" collapsed="false">
      <c r="A128" s="21" t="s">
        <v>1062</v>
      </c>
      <c r="B128" s="21" t="s">
        <v>532</v>
      </c>
      <c r="C128" s="21" t="s">
        <v>1063</v>
      </c>
      <c r="D128" s="16" t="s">
        <v>1064</v>
      </c>
      <c r="E128" s="21" t="s">
        <v>588</v>
      </c>
      <c r="F128" s="21" t="s">
        <v>577</v>
      </c>
      <c r="G128" s="16" t="s">
        <v>1065</v>
      </c>
    </row>
    <row r="129" customFormat="false" ht="113.25" hidden="false" customHeight="true" outlineLevel="0" collapsed="false">
      <c r="A129" s="21" t="s">
        <v>1066</v>
      </c>
      <c r="B129" s="21" t="s">
        <v>532</v>
      </c>
      <c r="C129" s="21" t="s">
        <v>1067</v>
      </c>
      <c r="D129" s="16" t="s">
        <v>1068</v>
      </c>
      <c r="E129" s="21" t="s">
        <v>585</v>
      </c>
      <c r="F129" s="21" t="s">
        <v>1047</v>
      </c>
      <c r="G129" s="16" t="s">
        <v>1069</v>
      </c>
    </row>
    <row r="130" customFormat="false" ht="79.5" hidden="false" customHeight="true" outlineLevel="0" collapsed="false">
      <c r="A130" s="21" t="s">
        <v>1070</v>
      </c>
      <c r="B130" s="21" t="s">
        <v>376</v>
      </c>
      <c r="C130" s="21" t="s">
        <v>1071</v>
      </c>
      <c r="D130" s="16" t="s">
        <v>1072</v>
      </c>
      <c r="E130" s="21" t="s">
        <v>585</v>
      </c>
      <c r="F130" s="21" t="s">
        <v>693</v>
      </c>
      <c r="G130" s="16" t="s">
        <v>1073</v>
      </c>
    </row>
    <row r="131" customFormat="false" ht="79.5" hidden="false" customHeight="true" outlineLevel="0" collapsed="false">
      <c r="A131" s="21" t="s">
        <v>1074</v>
      </c>
      <c r="B131" s="21" t="s">
        <v>376</v>
      </c>
      <c r="C131" s="21" t="s">
        <v>1075</v>
      </c>
      <c r="D131" s="16" t="s">
        <v>1076</v>
      </c>
      <c r="E131" s="21" t="s">
        <v>588</v>
      </c>
      <c r="F131" s="21" t="s">
        <v>1077</v>
      </c>
      <c r="G131" s="16" t="s">
        <v>1078</v>
      </c>
    </row>
    <row r="132" customFormat="false" ht="79.5" hidden="false" customHeight="true" outlineLevel="0" collapsed="false">
      <c r="A132" s="21" t="s">
        <v>1079</v>
      </c>
      <c r="B132" s="21" t="s">
        <v>536</v>
      </c>
      <c r="C132" s="21" t="s">
        <v>1080</v>
      </c>
      <c r="D132" s="16" t="s">
        <v>1081</v>
      </c>
      <c r="E132" s="21" t="s">
        <v>588</v>
      </c>
      <c r="F132" s="21" t="s">
        <v>577</v>
      </c>
      <c r="G132" s="16" t="s">
        <v>1082</v>
      </c>
    </row>
    <row r="133" customFormat="false" ht="79.5" hidden="false" customHeight="true" outlineLevel="0" collapsed="false">
      <c r="A133" s="21" t="s">
        <v>1083</v>
      </c>
      <c r="B133" s="21" t="s">
        <v>376</v>
      </c>
      <c r="C133" s="21" t="s">
        <v>1084</v>
      </c>
      <c r="D133" s="16" t="s">
        <v>1085</v>
      </c>
      <c r="E133" s="21" t="s">
        <v>588</v>
      </c>
      <c r="F133" s="21" t="s">
        <v>1086</v>
      </c>
      <c r="G133" s="16" t="s">
        <v>1087</v>
      </c>
    </row>
    <row r="134" customFormat="false" ht="79.5" hidden="false" customHeight="true" outlineLevel="0" collapsed="false">
      <c r="A134" s="21" t="s">
        <v>1088</v>
      </c>
      <c r="B134" s="21" t="s">
        <v>552</v>
      </c>
      <c r="C134" s="21" t="s">
        <v>1089</v>
      </c>
      <c r="D134" s="16" t="s">
        <v>1090</v>
      </c>
      <c r="E134" s="21" t="s">
        <v>576</v>
      </c>
      <c r="F134" s="21" t="s">
        <v>577</v>
      </c>
      <c r="G134" s="16" t="s">
        <v>1091</v>
      </c>
    </row>
    <row r="135" customFormat="false" ht="79.5" hidden="false" customHeight="true" outlineLevel="0" collapsed="false">
      <c r="A135" s="21" t="s">
        <v>1092</v>
      </c>
      <c r="B135" s="21" t="s">
        <v>376</v>
      </c>
      <c r="C135" s="21" t="s">
        <v>1093</v>
      </c>
      <c r="D135" s="16" t="s">
        <v>1094</v>
      </c>
      <c r="E135" s="21" t="s">
        <v>588</v>
      </c>
      <c r="F135" s="21" t="s">
        <v>1095</v>
      </c>
      <c r="G135" s="16" t="s">
        <v>1096</v>
      </c>
    </row>
    <row r="136" customFormat="false" ht="79.5" hidden="false" customHeight="true" outlineLevel="0" collapsed="false">
      <c r="A136" s="21" t="s">
        <v>1097</v>
      </c>
      <c r="B136" s="21" t="s">
        <v>364</v>
      </c>
      <c r="C136" s="21" t="s">
        <v>1098</v>
      </c>
      <c r="D136" s="16" t="s">
        <v>1099</v>
      </c>
      <c r="E136" s="21" t="s">
        <v>588</v>
      </c>
      <c r="F136" s="21" t="s">
        <v>1047</v>
      </c>
      <c r="G136" s="16" t="s">
        <v>1100</v>
      </c>
    </row>
  </sheetData>
  <autoFilter ref="A3:G36"/>
  <conditionalFormatting sqref="E4:E23">
    <cfRule type="cellIs" priority="2" operator="equal" aboveAverage="0" equalAverage="0" bottom="0" percent="0" rank="0" text="" dxfId="13">
      <formula>"Critical"</formula>
    </cfRule>
  </conditionalFormatting>
  <conditionalFormatting sqref="F4:F23">
    <cfRule type="cellIs" priority="3" operator="equal" aboveAverage="0" equalAverage="0" bottom="0" percent="0" rank="0" text="" dxfId="8">
      <formula>"Fixed"</formula>
    </cfRule>
    <cfRule type="cellIs" priority="4" operator="equal" aboveAverage="0" equalAverage="0" bottom="0" percent="0" rank="0" text="" dxfId="9">
      <formula>"Open"</formula>
    </cfRule>
  </conditionalFormatting>
  <dataValidations count="1">
    <dataValidation allowBlank="true" errorStyle="stop" operator="between" showDropDown="false" showErrorMessage="false" showInputMessage="false" sqref="F4:F23" type="list">
      <formula1>"Open,In Progress,Fixed,Mitigated,Won't Fix"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6"/>
    <col collapsed="false" customWidth="true" hidden="false" outlineLevel="0" max="3" min="3" style="1" width="62"/>
    <col collapsed="false" customWidth="true" hidden="false" outlineLevel="0" max="4" min="4" style="1" width="74"/>
    <col collapsed="false" customWidth="true" hidden="false" outlineLevel="0" max="5" min="5" style="1" width="14"/>
    <col collapsed="false" customWidth="true" hidden="false" outlineLevel="0" max="6" min="6" style="1" width="12"/>
  </cols>
  <sheetData>
    <row r="1" customFormat="false" ht="17.25" hidden="false" customHeight="true" outlineLevel="0" collapsed="false">
      <c r="A1" s="2" t="s">
        <v>1101</v>
      </c>
    </row>
    <row r="2" customFormat="false" ht="15" hidden="false" customHeight="true" outlineLevel="0" collapsed="false">
      <c r="A2" s="3" t="s">
        <v>1102</v>
      </c>
    </row>
    <row r="4" customFormat="false" ht="15" hidden="false" customHeight="true" outlineLevel="0" collapsed="false">
      <c r="A4" s="4" t="s">
        <v>19</v>
      </c>
      <c r="B4" s="4" t="s">
        <v>1103</v>
      </c>
      <c r="C4" s="4" t="s">
        <v>1104</v>
      </c>
      <c r="D4" s="4" t="s">
        <v>1105</v>
      </c>
      <c r="E4" s="4" t="s">
        <v>1106</v>
      </c>
      <c r="F4" s="4" t="s">
        <v>22</v>
      </c>
    </row>
    <row r="5" customFormat="false" ht="61.5" hidden="false" customHeight="true" outlineLevel="0" collapsed="false">
      <c r="A5" s="6" t="s">
        <v>1107</v>
      </c>
      <c r="B5" s="16" t="s">
        <v>1108</v>
      </c>
      <c r="C5" s="16" t="s">
        <v>1109</v>
      </c>
      <c r="D5" s="16" t="s">
        <v>1110</v>
      </c>
      <c r="E5" s="6" t="s">
        <v>1111</v>
      </c>
      <c r="F5" s="17" t="s">
        <v>693</v>
      </c>
    </row>
    <row r="6" customFormat="false" ht="61.5" hidden="false" customHeight="true" outlineLevel="0" collapsed="false">
      <c r="A6" s="6" t="s">
        <v>1112</v>
      </c>
      <c r="B6" s="16" t="s">
        <v>1113</v>
      </c>
      <c r="C6" s="16" t="s">
        <v>1114</v>
      </c>
      <c r="D6" s="16" t="s">
        <v>1115</v>
      </c>
      <c r="E6" s="6" t="s">
        <v>1116</v>
      </c>
      <c r="F6" s="17" t="s">
        <v>1117</v>
      </c>
    </row>
    <row r="7" customFormat="false" ht="61.5" hidden="false" customHeight="true" outlineLevel="0" collapsed="false">
      <c r="A7" s="6" t="s">
        <v>1118</v>
      </c>
      <c r="B7" s="16" t="s">
        <v>1119</v>
      </c>
      <c r="C7" s="16" t="s">
        <v>1120</v>
      </c>
      <c r="D7" s="16" t="s">
        <v>1121</v>
      </c>
      <c r="E7" s="6" t="s">
        <v>1122</v>
      </c>
      <c r="F7" s="17" t="s">
        <v>632</v>
      </c>
    </row>
    <row r="8" customFormat="false" ht="61.5" hidden="false" customHeight="true" outlineLevel="0" collapsed="false">
      <c r="A8" s="6" t="s">
        <v>1123</v>
      </c>
      <c r="B8" s="16" t="s">
        <v>1124</v>
      </c>
      <c r="C8" s="16" t="s">
        <v>1125</v>
      </c>
      <c r="D8" s="16" t="s">
        <v>1126</v>
      </c>
      <c r="E8" s="6" t="s">
        <v>1127</v>
      </c>
      <c r="F8" s="17" t="s">
        <v>632</v>
      </c>
    </row>
    <row r="9" customFormat="false" ht="61.5" hidden="false" customHeight="true" outlineLevel="0" collapsed="false">
      <c r="A9" s="6" t="s">
        <v>1128</v>
      </c>
      <c r="B9" s="16" t="s">
        <v>1129</v>
      </c>
      <c r="C9" s="16" t="s">
        <v>1130</v>
      </c>
      <c r="D9" s="16" t="s">
        <v>1131</v>
      </c>
      <c r="E9" s="6" t="s">
        <v>1132</v>
      </c>
      <c r="F9" s="17" t="s">
        <v>693</v>
      </c>
    </row>
    <row r="10" customFormat="false" ht="61.5" hidden="false" customHeight="true" outlineLevel="0" collapsed="false">
      <c r="A10" s="6" t="s">
        <v>1133</v>
      </c>
      <c r="B10" s="16" t="s">
        <v>1129</v>
      </c>
      <c r="C10" s="16" t="s">
        <v>1134</v>
      </c>
      <c r="D10" s="16" t="s">
        <v>1135</v>
      </c>
      <c r="E10" s="6" t="s">
        <v>1136</v>
      </c>
      <c r="F10" s="17" t="s">
        <v>693</v>
      </c>
    </row>
    <row r="11" customFormat="false" ht="61.5" hidden="false" customHeight="true" outlineLevel="0" collapsed="false">
      <c r="A11" s="6" t="s">
        <v>1137</v>
      </c>
      <c r="B11" s="16" t="s">
        <v>1138</v>
      </c>
      <c r="C11" s="16" t="s">
        <v>1139</v>
      </c>
      <c r="D11" s="16" t="s">
        <v>1140</v>
      </c>
      <c r="E11" s="6" t="s">
        <v>1141</v>
      </c>
      <c r="F11" s="17" t="s">
        <v>1117</v>
      </c>
    </row>
    <row r="12" customFormat="false" ht="61.5" hidden="false" customHeight="true" outlineLevel="0" collapsed="false">
      <c r="A12" s="6" t="s">
        <v>1142</v>
      </c>
      <c r="B12" s="16" t="s">
        <v>1143</v>
      </c>
      <c r="C12" s="16" t="s">
        <v>1144</v>
      </c>
      <c r="D12" s="16" t="s">
        <v>1145</v>
      </c>
      <c r="E12" s="6" t="s">
        <v>1146</v>
      </c>
      <c r="F12" s="17" t="s">
        <v>693</v>
      </c>
    </row>
    <row r="13" customFormat="false" ht="34.5" hidden="false" customHeight="true" outlineLevel="0" collapsed="false">
      <c r="A13" s="21" t="s">
        <v>1147</v>
      </c>
      <c r="B13" s="21" t="s">
        <v>1138</v>
      </c>
      <c r="C13" s="16" t="s">
        <v>1148</v>
      </c>
      <c r="D13" s="16" t="s">
        <v>1149</v>
      </c>
      <c r="E13" s="21" t="s">
        <v>1150</v>
      </c>
      <c r="F13" s="21" t="s">
        <v>693</v>
      </c>
    </row>
    <row r="14" customFormat="false" ht="23.25" hidden="false" customHeight="true" outlineLevel="0" collapsed="false">
      <c r="A14" s="21" t="s">
        <v>1151</v>
      </c>
      <c r="B14" s="21" t="s">
        <v>1143</v>
      </c>
      <c r="C14" s="16" t="s">
        <v>1152</v>
      </c>
      <c r="D14" s="16" t="s">
        <v>1153</v>
      </c>
      <c r="E14" s="21" t="s">
        <v>1154</v>
      </c>
      <c r="F14" s="21" t="s">
        <v>693</v>
      </c>
    </row>
    <row r="15" customFormat="false" ht="23.25" hidden="false" customHeight="true" outlineLevel="0" collapsed="false">
      <c r="A15" s="21" t="s">
        <v>1155</v>
      </c>
      <c r="B15" s="21" t="s">
        <v>1156</v>
      </c>
      <c r="C15" s="16" t="s">
        <v>1157</v>
      </c>
      <c r="D15" s="16" t="s">
        <v>1158</v>
      </c>
      <c r="E15" s="21" t="s">
        <v>1159</v>
      </c>
      <c r="F15" s="21" t="s">
        <v>693</v>
      </c>
    </row>
    <row r="16" customFormat="false" ht="34.5" hidden="false" customHeight="true" outlineLevel="0" collapsed="false">
      <c r="A16" s="21" t="s">
        <v>1160</v>
      </c>
      <c r="B16" s="21" t="s">
        <v>1108</v>
      </c>
      <c r="C16" s="16" t="s">
        <v>1161</v>
      </c>
      <c r="D16" s="16" t="s">
        <v>1162</v>
      </c>
      <c r="E16" s="21" t="s">
        <v>1163</v>
      </c>
      <c r="F16" s="21" t="s">
        <v>1117</v>
      </c>
    </row>
    <row r="17" customFormat="false" ht="34.5" hidden="false" customHeight="true" outlineLevel="0" collapsed="false">
      <c r="A17" s="21" t="s">
        <v>1164</v>
      </c>
      <c r="B17" s="21" t="s">
        <v>1129</v>
      </c>
      <c r="C17" s="16" t="s">
        <v>1165</v>
      </c>
      <c r="D17" s="16" t="s">
        <v>1166</v>
      </c>
      <c r="E17" s="21" t="s">
        <v>1167</v>
      </c>
      <c r="F17" s="21" t="s">
        <v>693</v>
      </c>
    </row>
    <row r="18" customFormat="false" ht="23.25" hidden="false" customHeight="true" outlineLevel="0" collapsed="false">
      <c r="A18" s="21" t="s">
        <v>1168</v>
      </c>
      <c r="B18" s="21" t="s">
        <v>1138</v>
      </c>
      <c r="C18" s="16" t="s">
        <v>1169</v>
      </c>
      <c r="D18" s="16" t="s">
        <v>1170</v>
      </c>
      <c r="E18" s="21" t="s">
        <v>1171</v>
      </c>
      <c r="F18" s="21" t="s">
        <v>693</v>
      </c>
    </row>
    <row r="19" customFormat="false" ht="34.5" hidden="false" customHeight="true" outlineLevel="0" collapsed="false">
      <c r="A19" s="21" t="s">
        <v>1172</v>
      </c>
      <c r="B19" s="21" t="s">
        <v>1173</v>
      </c>
      <c r="C19" s="16" t="s">
        <v>1174</v>
      </c>
      <c r="D19" s="16" t="s">
        <v>1175</v>
      </c>
      <c r="E19" s="21" t="s">
        <v>1176</v>
      </c>
      <c r="F19" s="21" t="s">
        <v>693</v>
      </c>
    </row>
    <row r="20" customFormat="false" ht="34.5" hidden="false" customHeight="true" outlineLevel="0" collapsed="false">
      <c r="A20" s="21" t="s">
        <v>1177</v>
      </c>
      <c r="B20" s="21" t="s">
        <v>1178</v>
      </c>
      <c r="C20" s="16" t="s">
        <v>1179</v>
      </c>
      <c r="D20" s="16" t="s">
        <v>1180</v>
      </c>
      <c r="E20" s="21" t="s">
        <v>1181</v>
      </c>
      <c r="F20" s="21" t="s">
        <v>1117</v>
      </c>
    </row>
    <row r="21" customFormat="false" ht="45.75" hidden="false" customHeight="true" outlineLevel="0" collapsed="false">
      <c r="A21" s="21" t="s">
        <v>1182</v>
      </c>
      <c r="B21" s="21" t="s">
        <v>1183</v>
      </c>
      <c r="C21" s="16" t="s">
        <v>1184</v>
      </c>
      <c r="D21" s="16" t="s">
        <v>1185</v>
      </c>
      <c r="E21" s="21" t="s">
        <v>1186</v>
      </c>
      <c r="F21" s="21" t="s">
        <v>632</v>
      </c>
    </row>
    <row r="22" customFormat="false" ht="45.75" hidden="false" customHeight="true" outlineLevel="0" collapsed="false">
      <c r="A22" s="21" t="s">
        <v>1187</v>
      </c>
      <c r="B22" s="21" t="s">
        <v>1188</v>
      </c>
      <c r="C22" s="16" t="s">
        <v>1189</v>
      </c>
      <c r="D22" s="16" t="s">
        <v>1190</v>
      </c>
      <c r="E22" s="21" t="s">
        <v>1191</v>
      </c>
      <c r="F22" s="21" t="s">
        <v>693</v>
      </c>
    </row>
    <row r="23" customFormat="false" ht="57" hidden="false" customHeight="true" outlineLevel="0" collapsed="false">
      <c r="A23" s="21" t="s">
        <v>1192</v>
      </c>
      <c r="B23" s="21" t="s">
        <v>1193</v>
      </c>
      <c r="C23" s="16" t="s">
        <v>1194</v>
      </c>
      <c r="D23" s="16" t="s">
        <v>1195</v>
      </c>
      <c r="E23" s="21" t="s">
        <v>1196</v>
      </c>
      <c r="F23" s="21" t="s">
        <v>693</v>
      </c>
    </row>
    <row r="24" customFormat="false" ht="57" hidden="false" customHeight="true" outlineLevel="0" collapsed="false">
      <c r="A24" s="21" t="s">
        <v>1197</v>
      </c>
      <c r="B24" s="21" t="s">
        <v>1129</v>
      </c>
      <c r="C24" s="16" t="s">
        <v>1198</v>
      </c>
      <c r="D24" s="16" t="s">
        <v>1199</v>
      </c>
      <c r="E24" s="21" t="s">
        <v>1200</v>
      </c>
      <c r="F24" s="21" t="s">
        <v>693</v>
      </c>
    </row>
  </sheetData>
  <dataValidations count="1">
    <dataValidation allowBlank="true" errorStyle="stop" operator="between" showDropDown="false" showErrorMessage="false" showInputMessage="false" sqref="F5:F12" type="list">
      <formula1>"Open,Addressed,Verified"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2026-08-13T13:18:08Z</dcterms:created>
  <dc:creator>openpyxl</dc:creator>
  <dc:description/>
  <dc:language>en-US</dc:language>
  <cp:lastModifiedBy/>
  <dcterms:modified xsi:type="dcterms:W3CDTF">2026-09-15T06:24:06Z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