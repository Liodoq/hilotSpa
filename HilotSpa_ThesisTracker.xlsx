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asks" sheetId="2" state="visible" r:id="rId4"/>
    <sheet name="Bugs" sheetId="3" state="visible" r:id="rId5"/>
    <sheet name="Defense Risks" sheetId="4" state="visible" r:id="rId6"/>
  </sheets>
  <definedNames>
    <definedName function="false" hidden="true" localSheetId="2" name="_xlnm._FilterDatabase" vbProcedure="false">Bugs!$A$3:$G$36</definedName>
    <definedName function="false" hidden="true" localSheetId="1" name="_xlnm._FilterDatabase" vbProcedure="false">Tasks!$A$4:$G$44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<sst xmlns="http://schemas.openxmlformats.org/spreadsheetml/2006/main" count="1161" uniqueCount="709">
  <si>
    <t xml:space="preserve">HilotSpa — Progress Summary</t>
  </si>
  <si>
    <t xml:space="preserve">Live formulas over the Tasks and Bugs sheets. Values last recalculated 2026-08-22 (session 6 close).</t>
  </si>
  <si>
    <t xml:space="preserve">Sprint</t>
  </si>
  <si>
    <t xml:space="preserve">Total</t>
  </si>
  <si>
    <t xml:space="preserve">Done</t>
  </si>
  <si>
    <t xml:space="preserve">In Progress</t>
  </si>
  <si>
    <t xml:space="preserve">Not Started</t>
  </si>
  <si>
    <t xml:space="preserve">Blocked</t>
  </si>
  <si>
    <t xml:space="preserve">% Complete</t>
  </si>
  <si>
    <t xml:space="preserve">Sprint 0</t>
  </si>
  <si>
    <t xml:space="preserve">Sprint 1</t>
  </si>
  <si>
    <t xml:space="preserve">Sprint 2</t>
  </si>
  <si>
    <t xml:space="preserve">Sprint 3</t>
  </si>
  <si>
    <t xml:space="preserve">Sprint 4</t>
  </si>
  <si>
    <t xml:space="preserve">TOTAL</t>
  </si>
  <si>
    <t xml:space="preserve">Open bugs</t>
  </si>
  <si>
    <t xml:space="preserve">Critical open</t>
  </si>
  <si>
    <t xml:space="preserve">HilotSpa — Task Tracker</t>
  </si>
  <si>
    <t xml:space="preserve">Statuses: Not Started / In Progress / Done / Blocked / N/A  (dropdown in column E)</t>
  </si>
  <si>
    <t xml:space="preserve">ID</t>
  </si>
  <si>
    <t xml:space="preserve">Task</t>
  </si>
  <si>
    <t xml:space="preserve">Detail</t>
  </si>
  <si>
    <t xml:space="preserve">Status</t>
  </si>
  <si>
    <t xml:space="preserve">Owner</t>
  </si>
  <si>
    <t xml:space="preserve">Notes</t>
  </si>
  <si>
    <t xml:space="preserve">0.1</t>
  </si>
  <si>
    <t xml:space="preserve">Fix trivial model bugs</t>
  </si>
  <si>
    <t xml:space="preserve">FormsRepository return types, User.demographics OneToOne, massage table typo, durationMinute, compose.yaml space</t>
  </si>
  <si>
    <t xml:space="preserve">Liodoq</t>
  </si>
  <si>
    <t xml:space="preserve">Reviewed and confirmed correct.</t>
  </si>
  <si>
    <t xml:space="preserve">0.2</t>
  </si>
  <si>
    <t xml:space="preserve">Invert Forms &lt;-&gt; PatientIntake to one-to-many</t>
  </si>
  <si>
    <t xml:space="preserve">A form must hold MANY pain points. Touches Forms, PatientIntake, FormsModel, both repositories, FormsServiceImpl, FormsTransformImpl.</t>
  </si>
  <si>
    <t xml:space="preserve">Closed. B6-B11 all fixed. Aggregate-root design: Forms is the only door into pain points.</t>
  </si>
  <si>
    <t xml:space="preserve">0.3</t>
  </si>
  <si>
    <t xml:space="preserve">Migrate all primary keys to UUID</t>
  </si>
  <si>
    <t xml:space="preserve">Highest-leverage item. Integer IDs collide across branch nodes and make P2P sync impossible.</t>
  </si>
  <si>
    <t xml:space="preserve">Claude</t>
  </si>
  <si>
    <t xml:space="preserve">All 36 files migrated. Domain Integers (painScore, coords, age, height, weight, durationMinute) intentionally left as Integer.</t>
  </si>
  <si>
    <t xml:space="preserve">0.4</t>
  </si>
  <si>
    <t xml:space="preserve">Add security fields to User</t>
  </si>
  <si>
    <t xml:space="preserve">passwordHash, enabled, branch FK, role as @Enumerated enum CUSTOMER/STAFF/ADMIN.</t>
  </si>
  <si>
    <t xml:space="preserve">passwordHash, enabled, branch FK, role as @Enumerated(EnumType.STRING) enum. Branch resolved in create + update.</t>
  </si>
  <si>
    <t xml:space="preserve">0.5</t>
  </si>
  <si>
    <t xml:space="preserve">Add the missing core entities</t>
  </si>
  <si>
    <t xml:space="preserve">Appointment, Therapist, Room, ServiceProtocol, Contraindication, AuditLog.</t>
  </si>
  <si>
    <t xml:space="preserve">ALL of 0.5 complete. 18 entities, 11 repositories. Therapist, Room, ServiceProtocol (+ProtocolRule), Appointment (+AppointmentStatus/PaymentStatus/BookingSource), AuditLog, ComplaintType. App boots clean against a live schema.</t>
  </si>
  <si>
    <t xml:space="preserve">0.6</t>
  </si>
  <si>
    <t xml:space="preserve">Spring Security + JWT + RBAC</t>
  </si>
  <si>
    <t xml:space="preserve">Satisfies FR#4 and Process Rules #1 and #5. Staff restricted to their own Branch ID at query level.</t>
  </si>
  <si>
    <t xml:space="preserve">Liodoq+Claude</t>
  </si>
  <si>
    <t xml:space="preserve">Auth, RBAC endpoint rules, and query-level branch scoping all shipped (0.6a-0.6c-2). B29/B30 closed.</t>
  </si>
  <si>
    <t xml:space="preserve">0.7</t>
  </si>
  <si>
    <t xml:space="preserve">Infra: Flyway, Redis, secrets</t>
  </si>
  <si>
    <t xml:space="preserve">Flyway so every node shares an identical schema. Redis into pom.xml + compose.yaml.</t>
  </si>
  <si>
    <t xml:space="preserve">Secrets/.env done. Flyway NOT started, Redis deferred to Sprint 2. ddl-auto=update is still what builds the schema.</t>
  </si>
  <si>
    <t xml:space="preserve">0.8</t>
  </si>
  <si>
    <t xml:space="preserve">Scaffold the Angular project</t>
  </si>
  <si>
    <t xml:space="preserve">Fresh Angular app + Tailwind, wired to the backend.</t>
  </si>
  <si>
    <t xml:space="preserve">Angular 21.2 + Tailwind 4, committed 2169414 / d82f8ae.</t>
  </si>
  <si>
    <t xml:space="preserve">1.1</t>
  </si>
  <si>
    <t xml:space="preserve">2D body map component (front + back SVG)</t>
  </si>
  <si>
    <t xml:space="preserve">Angular canvas/SVG. Paper Scope: '2D Visualization of front and back body parts'.</t>
  </si>
  <si>
    <t xml:space="preserve">shared/body-map — front and back SVG, percentage coordinates.</t>
  </si>
  <si>
    <t xml:space="preserve">1.2</t>
  </si>
  <si>
    <t xml:space="preserve">Tap-to-place pain markers with severity</t>
  </si>
  <si>
    <t xml:space="preserve">Marker stores bodyView, anatomicalRegion, x, y, painScore 1-10.</t>
  </si>
  <si>
    <t xml:space="preserve">Tap to place, drag-free severity 1-10, remove, region auto-guess with an editable dropdown.</t>
  </si>
  <si>
    <t xml:space="preserve">1.3</t>
  </si>
  <si>
    <t xml:space="preserve">25-item complaint checklist</t>
  </si>
  <si>
    <t xml:space="preserve">Neck Pain ... TMJ Disorder + Others. Exact list from paper Scope + Appendix A.</t>
  </si>
  <si>
    <t xml:space="preserve">All 24 conditions + Others, verbatim from Appendix A, with live filtering.</t>
  </si>
  <si>
    <t xml:space="preserve">1.4</t>
  </si>
  <si>
    <t xml:space="preserve">Pain vs Leisure fork on first screen</t>
  </si>
  <si>
    <t xml:space="preserve">Leisure path completes an assessment in one tap. Resolves the Process Rule #2 contradiction.</t>
  </si>
  <si>
    <t xml:space="preserve">C2 built. intent is recorded on Forms (H6), so the leisure path is a real, distinguishable record.</t>
  </si>
  <si>
    <t xml:space="preserve">1.5</t>
  </si>
  <si>
    <t xml:space="preserve">Age-inclusive styling</t>
  </si>
  <si>
    <t xml:space="preserve">High contrast, &gt;=18px base font, &gt;=44px touch targets, warm palette, simplified navigation.</t>
  </si>
  <si>
    <t xml:space="preserve">13 tokens, 68px targets, 6.88:1 brand contrast, prefers-reduced-motion. Evidence in paper-deltas SS I.</t>
  </si>
  <si>
    <t xml:space="preserve">1.6</t>
  </si>
  <si>
    <t xml:space="preserve">Demographics capture screen</t>
  </si>
  <si>
    <t xml:space="preserve">Age, sex, status, height, weight, birthdate. Mirrors the paper intake form.</t>
  </si>
  <si>
    <t xml:space="preserve">C3 built. NOTE: a CUSTOMER cannot save it yet - see B43.</t>
  </si>
  <si>
    <t xml:space="preserve">1.7</t>
  </si>
  <si>
    <t xml:space="preserve">Submit form + pain points to backend</t>
  </si>
  <si>
    <t xml:space="preserve">Single POST carrying form and its painPoints array.</t>
  </si>
  <si>
    <t xml:space="preserve">C7 posts once, and an empty PAIN assessment can no longer be submitted. STILL NEVER PROVEN END TO END - no row confirmed in Postgres.</t>
  </si>
  <si>
    <t xml:space="preserve">2.1</t>
  </si>
  <si>
    <t xml:space="preserve">Redis temporary resource locking</t>
  </si>
  <si>
    <t xml:space="preserve">Lock therapist + room + slot with a TTL while booking is in progress.</t>
  </si>
  <si>
    <t xml:space="preserve">Process Rule #4.</t>
  </si>
  <si>
    <t xml:space="preserve">2.2</t>
  </si>
  <si>
    <t xml:space="preserve">n8n workflow scaffolding</t>
  </si>
  <si>
    <t xml:space="preserve">Assemble prompt -&gt; call Gemini -&gt; validate response -&gt; write booking.</t>
  </si>
  <si>
    <t xml:space="preserve">Table 6.</t>
  </si>
  <si>
    <t xml:space="preserve">2.3</t>
  </si>
  <si>
    <t xml:space="preserve">Gemini call with constrained structured output</t>
  </si>
  <si>
    <t xml:space="preserve">recommendedServiceId is an enum of real catalog UUIDs so the model cannot invent a service.</t>
  </si>
  <si>
    <t xml:space="preserve">See Defense Risks R3.</t>
  </si>
  <si>
    <t xml:space="preserve">2.4</t>
  </si>
  <si>
    <t xml:space="preserve">Contraindication filter applied BEFORE the AI call</t>
  </si>
  <si>
    <t xml:space="preserve">Deterministic table authored by the spa. AI only ever sees an already-safe list.</t>
  </si>
  <si>
    <t xml:space="preserve">See Defense Risks R4.</t>
  </si>
  <si>
    <t xml:space="preserve">2.5</t>
  </si>
  <si>
    <t xml:space="preserve">Chat UI</t>
  </si>
  <si>
    <t xml:space="preserve">Task-first, short structured replies, not chatty. Supported by [10].</t>
  </si>
  <si>
    <t xml:space="preserve">C9 chat UI built with mic + subtitles. Replies are canned; no n8n, no Gemini.</t>
  </si>
  <si>
    <t xml:space="preserve">2.6</t>
  </si>
  <si>
    <t xml:space="preserve">Virtual voice + subtitles</t>
  </si>
  <si>
    <t xml:space="preserve">Web Speech API: SpeechSynthesis out, SpeechRecognition in.</t>
  </si>
  <si>
    <t xml:space="preserve">Explicitly in the paper Scope. Easy to forget.</t>
  </si>
  <si>
    <t xml:space="preserve">2.7</t>
  </si>
  <si>
    <t xml:space="preserve">Conversational booking creates an Appointment</t>
  </si>
  <si>
    <t xml:space="preserve">Negotiate slot against branch resources, then confirm and persist.</t>
  </si>
  <si>
    <t xml:space="preserve">FR#2</t>
  </si>
  <si>
    <t xml:space="preserve">2.8</t>
  </si>
  <si>
    <t xml:space="preserve">Taglish / code-switch handling</t>
  </si>
  <si>
    <t xml:space="preserve">System prompt instructs code-switched Filipino-English. Demo this at defense.</t>
  </si>
  <si>
    <t xml:space="preserve">Ties reference [35] to the artifact.</t>
  </si>
  <si>
    <t xml:space="preserve">3.1</t>
  </si>
  <si>
    <t xml:space="preserve">Append-only sync_log table</t>
  </si>
  <si>
    <t xml:space="preserve">nodeId + monotonic sequenceNo per node. Peers pull everything after seq N.</t>
  </si>
  <si>
    <t xml:space="preserve">Requires UUID keys (0.3).</t>
  </si>
  <si>
    <t xml:space="preserve">3.2</t>
  </si>
  <si>
    <t xml:space="preserve">Node registry</t>
  </si>
  <si>
    <t xml:space="preserve">Each node knows its peers' addresses and last-seen sequence numbers.</t>
  </si>
  <si>
    <t xml:space="preserve">3.3</t>
  </si>
  <si>
    <t xml:space="preserve">Pull-based gossip between peers</t>
  </si>
  <si>
    <t xml:space="preserve">Broadcast local changes, pull remote changes, apply to read-only replicas.</t>
  </si>
  <si>
    <t xml:space="preserve">FR#3</t>
  </si>
  <si>
    <t xml:space="preserve">3.4</t>
  </si>
  <si>
    <t xml:space="preserve">Enforce single-writer-per-partition</t>
  </si>
  <si>
    <t xml:space="preserve">A node may only write resources it owns. Makes split-brain structurally impossible.</t>
  </si>
  <si>
    <t xml:space="preserve">See Defense Risks R1. THE core architectural argument.</t>
  </si>
  <si>
    <t xml:space="preserve">3.5</t>
  </si>
  <si>
    <t xml:space="preserve">Admin aggregated dashboard</t>
  </si>
  <si>
    <t xml:space="preserve">Global view across all branch nodes.</t>
  </si>
  <si>
    <t xml:space="preserve">A1 built. Node figures are placeholder - there is no sync to aggregate.</t>
  </si>
  <si>
    <t xml:space="preserve">3.6</t>
  </si>
  <si>
    <t xml:space="preserve">Context switch into a specific branch</t>
  </si>
  <si>
    <t xml:space="preserve">Admin loads a branch's local dashboard.</t>
  </si>
  <si>
    <t xml:space="preserve">A2 built (context switching UI). Opening a branch reuses S1.</t>
  </si>
  <si>
    <t xml:space="preserve">3.7</t>
  </si>
  <si>
    <t xml:space="preserve">Offline mode + visible status banner</t>
  </si>
  <si>
    <t xml:space="preserve">Branch keeps booking its own resources with no internet. Syncs on reconnect.</t>
  </si>
  <si>
    <t xml:space="preserve">X1 banner built into DashShell with a manual toggle on S1. No real offline detection.</t>
  </si>
  <si>
    <t xml:space="preserve">3.8</t>
  </si>
  <si>
    <t xml:space="preserve">Global configuration broadcast</t>
  </si>
  <si>
    <t xml:space="preserve">Admin edits service menu / pricing, broadcast to all nodes.</t>
  </si>
  <si>
    <t xml:space="preserve">A4 built incl. the service-protocol editor (X2). No broadcast mechanism yet.</t>
  </si>
  <si>
    <t xml:space="preserve">3.9</t>
  </si>
  <si>
    <t xml:space="preserve">Audit log generation</t>
  </si>
  <si>
    <t xml:space="preserve">Per-node audit trail, aggregated for the admin.</t>
  </si>
  <si>
    <t xml:space="preserve">A5 built. AuditLog entity exists; nothing writes to it yet.</t>
  </si>
  <si>
    <t xml:space="preserve">3.10</t>
  </si>
  <si>
    <t xml:space="preserve">Stand up a SECOND node for the demo</t>
  </si>
  <si>
    <t xml:space="preserve">Second laptop or VM on the same LAN. You cannot demo decentralization with one node.</t>
  </si>
  <si>
    <t xml:space="preserve">Research locale names only one branch. See Defense Risks R5.</t>
  </si>
  <si>
    <t xml:space="preserve">4.1</t>
  </si>
  <si>
    <t xml:space="preserve">Pre-implementation baseline timing</t>
  </si>
  <si>
    <t xml:space="preserve">Stopwatch ~20 real clients on the manual workflow BEFORE deployment.</t>
  </si>
  <si>
    <t xml:space="preserve">Paper claims 10-15 min manual intake. Prove it.</t>
  </si>
  <si>
    <t xml:space="preserve">4.2</t>
  </si>
  <si>
    <t xml:space="preserve">TAM instrument (validated item set)</t>
  </si>
  <si>
    <t xml:space="preserve">Perceived Ease of Use + Perceived Usefulness, 5-point Likert. Use Davis/Venkatesh items and cite.</t>
  </si>
  <si>
    <t xml:space="preserve">4.3</t>
  </si>
  <si>
    <t xml:space="preserve">CUQ instrument (real 16 items)</t>
  </si>
  <si>
    <t xml:space="preserve">Holmes et al. 16 alternating positive/negative items with the official 0-100 scoring formula.</t>
  </si>
  <si>
    <t xml:space="preserve">Do not invent your own questions.</t>
  </si>
  <si>
    <t xml:space="preserve">4.4</t>
  </si>
  <si>
    <t xml:space="preserve">Technical &amp; Operational Checklist</t>
  </si>
  <si>
    <t xml:space="preserve">AI-vs-therapist agreement rate, 0 out-of-catalog outputs, sync latency, offline recovery time.</t>
  </si>
  <si>
    <t xml:space="preserve">This is how you measure 'AI reliability'. See Defense Risks R6.</t>
  </si>
  <si>
    <t xml:space="preserve">4.5</t>
  </si>
  <si>
    <t xml:space="preserve">Run UAT with customers, staff, admin</t>
  </si>
  <si>
    <t xml:space="preserve">Non-probability sampling across the three role groups.</t>
  </si>
  <si>
    <t xml:space="preserve">4.6</t>
  </si>
  <si>
    <t xml:space="preserve">Weighted mean + frequency analysis</t>
  </si>
  <si>
    <t xml:space="preserve">Apply the paper's Likert interpretation guide.</t>
  </si>
  <si>
    <t xml:space="preserve">4.7</t>
  </si>
  <si>
    <t xml:space="preserve">Write Chapter IV</t>
  </si>
  <si>
    <t xml:space="preserve">Before/after tables, TAM/CUQ results, checklist results.</t>
  </si>
  <si>
    <t xml:space="preserve">0.9</t>
  </si>
  <si>
    <t xml:space="preserve">Seven schema corrections from Appendix A</t>
  </si>
  <si>
    <t xml:space="preserve">H1-H6 plus H8: intent, AnatomicalRegion, BodyView, occupation, medicalHistory/therapyDetail, painScoreBefore/After, and side (L/R).</t>
  </si>
  <si>
    <t xml:space="preserve">1 of 7 done (H6 intent). H8 found 20 Aug: the findings table has L and R columns; PatientIntake has no side field. The UI captures it and cannot send it.</t>
  </si>
  <si>
    <t xml:space="preserve">1.8</t>
  </si>
  <si>
    <t xml:space="preserve">Design tokens + interaction layer</t>
  </si>
  <si>
    <t xml:space="preserve">tailwind.css @theme static, styles.scss vocabulary, interactions.scss (hover, focus rings, reduced motion).</t>
  </si>
  <si>
    <t xml:space="preserve">Same token names as the Figma HilotSpa collection, so design and code cannot drift.</t>
  </si>
  <si>
    <t xml:space="preserve">1.9</t>
  </si>
  <si>
    <t xml:space="preserve">Auth screens P1 + P2 wired to the API</t>
  </si>
  <si>
    <t xml:space="preserve">Login, register, JWT interceptor, auth guard, role-aware landing.</t>
  </si>
  <si>
    <t xml:space="preserve">Errors deliberately vague on login so emails cannot be enumerated.</t>
  </si>
  <si>
    <t xml:space="preserve">1.10</t>
  </si>
  <si>
    <t xml:space="preserve">Assessment wizard shell + single-write store</t>
  </si>
  <si>
    <t xml:space="preserve">Shell (topbar/progress/footer), AssessmentStore holding one draft across C2-C7.</t>
  </si>
  <si>
    <t xml:space="preserve">Forms is an aggregate root, so the UI posts once. Six components each calling the API would contradict the schema.</t>
  </si>
  <si>
    <t xml:space="preserve">1.11</t>
  </si>
  <si>
    <t xml:space="preserve">Prove one assessment round-trips into Postgres</t>
  </si>
  <si>
    <t xml:space="preserve">Submit from C7, confirm the forms row and its patient_intake children exist.</t>
  </si>
  <si>
    <t xml:space="preserve">The only thing that makes Sprint 1 actually finished.</t>
  </si>
  <si>
    <t xml:space="preserve">2.9</t>
  </si>
  <si>
    <t xml:space="preserve">C8 Services screen with visible contraindication filtering</t>
  </si>
  <si>
    <t xml:space="preserve">Excluded services shown greyed with the reason and the practitioner named.</t>
  </si>
  <si>
    <t xml:space="preserve">UI done against placeholder data. Needs ServiceProtocol populated.</t>
  </si>
  <si>
    <t xml:space="preserve">3.11</t>
  </si>
  <si>
    <t xml:space="preserve">Staff screens S1-S5</t>
  </si>
  <si>
    <t xml:space="preserve">Dashboard, queue, therapist/room status, pre-assessment report, walk-in.</t>
  </si>
  <si>
    <t xml:space="preserve">UI complete and interactive. All data is core/demo.ts.</t>
  </si>
  <si>
    <t xml:space="preserve">3.12</t>
  </si>
  <si>
    <t xml:space="preserve">Admin screens A1-A5</t>
  </si>
  <si>
    <t xml:space="preserve">Node overview, context switch, accounts, configuration, audit log.</t>
  </si>
  <si>
    <t xml:space="preserve">4.8</t>
  </si>
  <si>
    <t xml:space="preserve">Treatment-history review at the spa</t>
  </si>
  <si>
    <t xml:space="preserve">De-identified complaint -&gt; service for a defined window. Feeds ServiceProtocol and the agreement-rate metric.</t>
  </si>
  <si>
    <t xml:space="preserve">Permission signed 19 Aug. Desk work, not fieldwork.</t>
  </si>
  <si>
    <t xml:space="preserve">4.9</t>
  </si>
  <si>
    <t xml:space="preserve">Get the ServiceProtocol table signed</t>
  </si>
  <si>
    <t xml:space="preserve">Reviewed and signed by Gary O. Trinidad, the bone setter named on the intake form.</t>
  </si>
  <si>
    <t xml:space="preserve">This is what makes "we do not give medical advice" true rather than asserted.</t>
  </si>
  <si>
    <t xml:space="preserve">4.10</t>
  </si>
  <si>
    <t xml:space="preserve">Adviser sign-off on the methodology change (SS A1)</t>
  </si>
  <si>
    <t xml:space="preserve">The retrospective records review is not in the frozen Chapter 3.</t>
  </si>
  <si>
    <t xml:space="preserve">Has a human response time you do not control. Send it before collecting anything.</t>
  </si>
  <si>
    <t xml:space="preserve">4.11</t>
  </si>
  <si>
    <t xml:space="preserve">Resolve the locale name and the disclosure (SS A3, A4)</t>
  </si>
  <si>
    <t xml:space="preserve">Knead Wellness Spa vs Hilotin Spa and Wellness Center; researcher/owner surname relationship; letter dated July 20.</t>
  </si>
  <si>
    <t xml:space="preserve">Three sentences of paper text, one adviser decision, one corrected date.</t>
  </si>
  <si>
    <t xml:space="preserve">0.10</t>
  </si>
  <si>
    <t xml:space="preserve">UI/UX revision pass from the review document</t>
  </si>
  <si>
    <t xml:space="preserve">22 items with screenshots in UIUX Documentation and Revisions.docx. Bugs, flow changes and polish across 7 screens.</t>
  </si>
  <si>
    <t xml:space="preserve">Efficient format - one document, one pass. Worth repeating.</t>
  </si>
  <si>
    <t xml:space="preserve">1.12</t>
  </si>
  <si>
    <t xml:space="preserve">Move demographics from the wizard to the profile</t>
  </si>
  <si>
    <t xml:space="preserve">ProfileStore + /profile + profileGuard. The wizard is 5 steps, not 6; a returning client is never asked again.</t>
  </si>
  <si>
    <t xml:space="preserve">They belong to the person, not the visit. Also makes B43 far less urgent.</t>
  </si>
  <si>
    <t xml:space="preserve">1.13</t>
  </si>
  <si>
    <t xml:space="preserve">Rebuild the body map on fixed anatomical hotspots</t>
  </si>
  <si>
    <t xml:space="preserve">30 positions (14 front, 16 back) covering all 11 regions. Hover preview, no marks in empty space, one open spot at a time.</t>
  </si>
  <si>
    <t xml:space="preserve">Fixes markers landing off the body AND the blank region names. Makes coordinates aggregatable across clients, which A1 depends on.</t>
  </si>
  <si>
    <t xml:space="preserve">1.14</t>
  </si>
  <si>
    <t xml:space="preserve">Read-only session report</t>
  </si>
  <si>
    <t xml:space="preserve">/report/:id - date, service, BEFORE/AFTER pain with the drop, body map, practitioner notes.</t>
  </si>
  <si>
    <t xml:space="preserve">"View report" used to open the live wizard, so a finished session could be rewritten from the home page.</t>
  </si>
  <si>
    <t xml:space="preserve">2.10</t>
  </si>
  <si>
    <t xml:space="preserve">Service detail pages + booking flow</t>
  </si>
  <si>
    <t xml:space="preserve">/services/:id with a photo, what it helps, what it is not advised with. Choose starts the pre-assessment, then the assistant.</t>
  </si>
  <si>
    <t xml:space="preserve">UI only. NOTE: a 23rd screen - outside the paper 22-page inventory. See Risk R14.</t>
  </si>
  <si>
    <t xml:space="preserve">0.11</t>
  </si>
  <si>
    <t xml:space="preserve">Track A - the six Appendix A schema changes (SS H1-H6, H8)</t>
  </si>
  <si>
    <t xml:space="preserve">AnatomicalRegion/BodyView/Side enums, painScoreBefore+painScoreAfter, Demographics.occupation, medicalHistory, therapyDetail, hasTherapy as Boolean.</t>
  </si>
  <si>
    <t xml:space="preserve">painScoreBefore/After is a free quantitative outcome measure for Ch.IV. Boots clean against a fresh volume.</t>
  </si>
  <si>
    <t xml:space="preserve">0.12</t>
  </si>
  <si>
    <t xml:space="preserve">Repository sweep after the field renames</t>
  </si>
  <si>
    <t xml:space="preserve">Deleted two stale derived-query methods on PatientIntakeRepository; audited all 12 repositories and every @Query string.</t>
  </si>
  <si>
    <t xml:space="preserve">Caused a boot crash loop. Grepping accessors is NOT enough after a rename - Spring derives queries from method names.</t>
  </si>
  <si>
    <t xml:space="preserve">0.13</t>
  </si>
  <si>
    <t xml:space="preserve">Pin the n8n image version</t>
  </si>
  <si>
    <t xml:space="preserve">compose.yaml runs docker.n8n.io/n8nio/n8n:latest. Run 'docker compose exec n8n n8n --version' and write that tag in.</t>
  </si>
  <si>
    <t xml:space="preserve">A thesis artefact should not float. A breaking n8n release in October would break the defence demo silently.</t>
  </si>
  <si>
    <t xml:space="preserve">2.11</t>
  </si>
  <si>
    <t xml:space="preserve">n8n added to the compose project</t>
  </si>
  <si>
    <t xml:space="preserve">Shares the network with the backend, so Spring reaches it at http://n8n:5678. N8N_ENCRYPTION_KEY generated on-device and pinned in .env.</t>
  </si>
  <si>
    <t xml:space="preserve">Kills the host.docker.internal problem. Pinning the key means saved credentials survive 'compose down -v'.</t>
  </si>
  <si>
    <t xml:space="preserve">2.12</t>
  </si>
  <si>
    <t xml:space="preserve">Recommend workflow - webhook, prompt build, validation, fallback</t>
  </si>
  <si>
    <t xml:space="preserve">n8n/hilotspa-recommend.workflow.json. Validate node drops any serviceId Spring did not send; zero survivors means the protocol table answers.</t>
  </si>
  <si>
    <t xml:space="preserve">VERIFIED LIVE 2026-08-22 against Vertex: 5 services in, 3 ranked out, 2 dropped, no hallucinated ids, no diagnosis in the wording.</t>
  </si>
  <si>
    <t xml:space="preserve">2.13</t>
  </si>
  <si>
    <t xml:space="preserve">Assistant chat workflow - AI Agent, no tools</t>
  </si>
  <si>
    <t xml:space="preserve">n8n/hilotspa-chat.workflow.json. Webhook trigger (not chat trigger) so Spring stays the only door; memory keyed on sessionKey.</t>
  </si>
  <si>
    <t xml:space="preserve">Imported and published; blocked behind the same Vertex credential as 2.14.</t>
  </si>
  <si>
    <t xml:space="preserve">2.14</t>
  </si>
  <si>
    <t xml:space="preserve">Wire Vertex AI credentials end to end</t>
  </si>
  <si>
    <t xml:space="preserve">Google Service Account credential + project id in the node URL and in the chat model. Currently returning 401 UNAUTHENTICATED.</t>
  </si>
  <si>
    <t xml:space="preserve">Closed 2026-08-22. Recommend workflow returns status OK, modelUsed gemini-2.5-flash, rejectedCount 0, model-written reasons that reflect the assessment (reranked the list and cited the LIGHT pressure preference).</t>
  </si>
  <si>
    <t xml:space="preserve">2.15</t>
  </si>
  <si>
    <t xml:space="preserve">Adversarial prompt tests for the appendix</t>
  </si>
  <si>
    <t xml:space="preserve">Five messages the assistant must refuse: diagnose, discount below list price, offer a service not on the list, claim a booking, respond to chest pain.</t>
  </si>
  <si>
    <t xml:space="preserve">Screenshots are evidence. 'We instructed the model not to diagnose' is only an assertion.</t>
  </si>
  <si>
    <t xml:space="preserve">2.16</t>
  </si>
  <si>
    <t xml:space="preserve">Java side - AssistantService and the allowedServices filter</t>
  </si>
  <si>
    <t xml:space="preserve">Read ServiceProtocol, drop CONTRAINDICATED for this client, POST to n8n, persist the ranked result and rejectedCount.</t>
  </si>
  <si>
    <t xml:space="preserve">rejectedCount logged per call IS the measured hallucination rate for Ch.IV.</t>
  </si>
  <si>
    <t xml:space="preserve">2.17</t>
  </si>
  <si>
    <t xml:space="preserve">Header Auth on both n8n webhooks</t>
  </si>
  <si>
    <t xml:space="preserve">Both webhooks are unauthenticated. Acceptable on a dev laptop, not at the spa.</t>
  </si>
  <si>
    <t xml:space="preserve">Must close before any real client record exists.</t>
  </si>
  <si>
    <t xml:space="preserve">2.18</t>
  </si>
  <si>
    <t xml:space="preserve">GET /appointments/availability</t>
  </si>
  <si>
    <t xml:space="preserve">Branch-scoped open slots for the next 7 days: therapist AND room free for the full duration. Returns distinct start times with a Java-rendered label.</t>
  </si>
  <si>
    <t xml:space="preserve">The label is pre-rendered on purpose - left to the model, times get reformatted or shifted an hour.</t>
  </si>
  <si>
    <t xml:space="preserve">2.19</t>
  </si>
  <si>
    <t xml:space="preserve">POST /appointments - transactional write</t>
  </si>
  <si>
    <t xml:space="preserve">Re-checks availability inside the transaction, assigns therapist+room, writes source=CHATBOT and the AuditLog row. 409 with fresh slots on conflict.</t>
  </si>
  <si>
    <t xml:space="preserve">Customer id from the JWT, never the body (B29). This is where Process Rule #4 is actually enforced.</t>
  </si>
  <si>
    <t xml:space="preserve">2.20</t>
  </si>
  <si>
    <t xml:space="preserve">Assistant proposes a slot; client confirms</t>
  </si>
  <si>
    <t xml:space="preserve">availableSlots + now + timezone added to the chat payload; agent returns {reply, proposal, alternatives} by slotId; Shape reply drops unknown ids AND the text that referenced them.</t>
  </si>
  <si>
    <t xml:space="preserve">If the requested time is taken: say so, offer nearest earlier + later, invite another day. Never substitute silently. See n8n/BOOKING.md.</t>
  </si>
  <si>
    <t xml:space="preserve">2.21</t>
  </si>
  <si>
    <t xml:space="preserve">Confirm button + 409 handling in /book</t>
  </si>
  <si>
    <t xml:space="preserve">Renders service, time, duration and price from Spring's values, not the model's text. On 409 shows 'that time was just taken' with the fresh slots.</t>
  </si>
  <si>
    <t xml:space="preserve">The tap is the consent record and the audit point. A conversational 'yes' is not consent to a financial commitment.</t>
  </si>
  <si>
    <t xml:space="preserve">0.14</t>
  </si>
  <si>
    <t xml:space="preserve">Customer self-service demographics (B43 + B65/B66/B67)</t>
  </si>
  <si>
    <t xml:space="preserve">POST/GET /demographics/me with identity from the JWT; ProfileStore moved off localStorage onto the server with the cache kept for the sync guards and NFR#1.</t>
  </si>
  <si>
    <t xml:space="preserve">Unblocks the browser-to-Postgres round trip - a CUSTOMER could not previously save their own profile, so profileGuard bounced them before wizard step 1.</t>
  </si>
  <si>
    <t xml:space="preserve">1.16</t>
  </si>
  <si>
    <t xml:space="preserve">Prove one assessment reaches Postgres (ROUNDTRIP.md Part A)</t>
  </si>
  <si>
    <t xml:space="preserve">Register -&gt; profile -&gt; 5-step wizard -&gt; submit -&gt; psql. Verify intent, one patient_intake row per marked spot, side LEFT/RIGHT vs CENTRE, pain_score_after NULL, occupation, and that users_id is the account that logged in.</t>
  </si>
  <si>
    <t xml:space="preserve">MONDAY #1. Never done in the whole project. Everything in Sprint 2 reads these rows. Screenshot the psql output - it is Ch.IV evidence that the digital intake captures what the paper form captures. Drop only backend_postgres_data, NOT compose down -v.</t>
  </si>
  <si>
    <t xml:space="preserve">2.22</t>
  </si>
  <si>
    <t xml:space="preserve">AuditLogController (read-only, ADMIN)</t>
  </si>
  <si>
    <t xml:space="preserve">GET /api/v1/audit-log with branch and date filters. Repository already exists; there is no controller.</t>
  </si>
  <si>
    <t xml:space="preserve">Unblocks A5 Audit, and is where the ASSISTANT_RECOMMEND reliability rows will be read from.</t>
  </si>
  <si>
    <t xml:space="preserve">2.23</t>
  </si>
  <si>
    <t xml:space="preserve">TherapistController + RoomController</t>
  </si>
  <si>
    <t xml:space="preserve">CRUD plus status changes, branch-scoped from the JWT. Entities and repositories exist; no controllers.</t>
  </si>
  <si>
    <t xml:space="preserve">Blocks S3 Resources and the whole staff area.</t>
  </si>
  <si>
    <t xml:space="preserve">2.24</t>
  </si>
  <si>
    <t xml:space="preserve">Wire the 5 admin screens off demo.ts</t>
  </si>
  <si>
    <t xml:space="preserve">A1 overview, A2 branches, A3 accounts, A4 config, A5 audit -&gt; BranchController, UserController, MassageController, AuditLogController.</t>
  </si>
  <si>
    <t xml:space="preserve">MONDAY #4. Highest visible progress for the least work - the controllers mostly exist already.</t>
  </si>
  <si>
    <t xml:space="preserve">2.25</t>
  </si>
  <si>
    <t xml:space="preserve">Wire C8 Services and C9 service detail off demo.ts</t>
  </si>
  <si>
    <t xml:space="preserve">GET /api/v1/massages, plus the ServiceProtocol notes for 'what this is not advised with'.</t>
  </si>
  <si>
    <t xml:space="preserve">The easiest connection in the app - MassageController already exists.</t>
  </si>
  <si>
    <t xml:space="preserve">3.13</t>
  </si>
  <si>
    <t xml:space="preserve">Wire the 5 staff screens off demo.ts</t>
  </si>
  <si>
    <t xml:space="preserve">S1 dashboard, S2 queue, S3 resources, S4 report, S5 walk-in.</t>
  </si>
  <si>
    <t xml:space="preserve">Blocked on 2.19 (AppointmentController) and 2.23. S4 is the practitioner's half of the paper form - the bottom of Appendix A.</t>
  </si>
  <si>
    <t xml:space="preserve">2.26</t>
  </si>
  <si>
    <t xml:space="preserve">Send enum displayName in the n8n payload</t>
  </si>
  <si>
    <t xml:space="preserve">ComplaintType and AnatomicalRegion carry displayName. The prompt currently reads FROZEN_SHOULDER and CERVICAL; flags read 'hypertension' instead of 'high blood pressure'.</t>
  </si>
  <si>
    <t xml:space="preserve">Do it inside AssistantService (2.16). The prompt is an artefact a panellist will read.</t>
  </si>
  <si>
    <t xml:space="preserve">0.15</t>
  </si>
  <si>
    <t xml:space="preserve">n8n housekeeping</t>
  </si>
  <si>
    <t xml:space="preserve">Chat model Maximum Number of Tokens -&gt; 2048 (still 400, still truncates); pin the n8n image version in compose.yaml; back up the n8n_data volume.</t>
  </si>
  <si>
    <t xml:space="preserve">The credential is the only piece that cannot be rebuilt from git. Backup command is in n8n/SETUP.md.</t>
  </si>
  <si>
    <t xml:space="preserve">HilotSpa — Bug &amp; Finding Log</t>
  </si>
  <si>
    <t xml:space="preserve">Where</t>
  </si>
  <si>
    <t xml:space="preserve">Problem</t>
  </si>
  <si>
    <t xml:space="preserve">Severity</t>
  </si>
  <si>
    <t xml:space="preserve">B1</t>
  </si>
  <si>
    <t xml:space="preserve">FormsRepository</t>
  </si>
  <si>
    <t xml:space="preserve">findBy* returned List&lt;Repository&gt; instead of List&lt;Forms&gt;</t>
  </si>
  <si>
    <t xml:space="preserve">Critical</t>
  </si>
  <si>
    <t xml:space="preserve">Fixed</t>
  </si>
  <si>
    <t xml:space="preserve">Would fail at application startup.</t>
  </si>
  <si>
    <t xml:space="preserve">B2</t>
  </si>
  <si>
    <t xml:space="preserve">User.java</t>
  </si>
  <si>
    <t xml:space="preserve">@OneToOne mapped to a List&lt;Demographics&gt;</t>
  </si>
  <si>
    <t xml:space="preserve">B3</t>
  </si>
  <si>
    <t xml:space="preserve">Massage.java</t>
  </si>
  <si>
    <t xml:space="preserve">Table name typo "masasage"</t>
  </si>
  <si>
    <t xml:space="preserve">Minor</t>
  </si>
  <si>
    <t xml:space="preserve">B4</t>
  </si>
  <si>
    <t xml:space="preserve">LocalTime used to represent a duration</t>
  </si>
  <si>
    <t xml:space="preserve">Major</t>
  </si>
  <si>
    <t xml:space="preserve">Now durationMinute.</t>
  </si>
  <si>
    <t xml:space="preserve">B5</t>
  </si>
  <si>
    <t xml:space="preserve">compose.yaml</t>
  </si>
  <si>
    <t xml:space="preserve">Leading space parsed into the JDBC URL</t>
  </si>
  <si>
    <t xml:space="preserve">B6</t>
  </si>
  <si>
    <t xml:space="preserve">Forms / PatientIntake</t>
  </si>
  <si>
    <t xml:space="preserve">Relationship inverted; capped every form at one pain point</t>
  </si>
  <si>
    <t xml:space="preserve">Entities and models now correct.</t>
  </si>
  <si>
    <t xml:space="preserve">B7</t>
  </si>
  <si>
    <t xml:space="preserve">Forms.java</t>
  </si>
  <si>
    <t xml:space="preserve">OLD @ManyToOne PatientIntake field was never deleted</t>
  </si>
  <si>
    <t xml:space="preserve">Fixed. Circular NOT NULL FK resolved.</t>
  </si>
  <si>
    <t xml:space="preserve">B8</t>
  </si>
  <si>
    <t xml:space="preserve">findByPatientIntakeId still present</t>
  </si>
  <si>
    <t xml:space="preserve">Will not resolve once B7 is fixed. Delete the method.</t>
  </si>
  <si>
    <t xml:space="preserve">B9</t>
  </si>
  <si>
    <t xml:space="preserve">PatientIntakeTransformImpl</t>
  </si>
  <si>
    <t xml:space="preserve">bodyView not mapped in either direction</t>
  </si>
  <si>
    <t xml:space="preserve">Body view was silently lost on every save and read. Mapped both directions.</t>
  </si>
  <si>
    <t xml:space="preserve">B10</t>
  </si>
  <si>
    <t xml:space="preserve">FormsTransformImpl</t>
  </si>
  <si>
    <t xml:space="preserve">formsModel.setId() never called</t>
  </si>
  <si>
    <t xml:space="preserve">Frontend gets no form ID back.</t>
  </si>
  <si>
    <t xml:space="preserve">B11</t>
  </si>
  <si>
    <t xml:space="preserve">PatientIntake service/controller</t>
  </si>
  <si>
    <t xml:space="preserve">create + update endpoints still exist</t>
  </si>
  <si>
    <t xml:space="preserve">Done. createPatientIntake/updatePatientIntake removed from service, impl, and controller.</t>
  </si>
  <si>
    <t xml:space="preserve">B12</t>
  </si>
  <si>
    <t xml:space="preserve">-</t>
  </si>
  <si>
    <t xml:space="preserve">MassageRepository</t>
  </si>
  <si>
    <t xml:space="preserve">findByPrice returns Optional but price is not unique</t>
  </si>
  <si>
    <t xml:space="preserve">findByPrice removed entirely; lookup is now by UUID id via JpaRepository.</t>
  </si>
  <si>
    <t xml:space="preserve">B13</t>
  </si>
  <si>
    <t xml:space="preserve">All entities</t>
  </si>
  <si>
    <t xml:space="preserve">Integer IDENTITY primary keys</t>
  </si>
  <si>
    <t xml:space="preserve">UUID primary keys across all entities. GenerationType.UUID.</t>
  </si>
  <si>
    <t xml:space="preserve">B14</t>
  </si>
  <si>
    <t xml:space="preserve">Whole backend</t>
  </si>
  <si>
    <t xml:space="preserve">No Spring Security, no authentication at all</t>
  </si>
  <si>
    <t xml:space="preserve">Resolved by 0.6a-0.6c-1: Spring Security 7 + OAuth2 resource server, BCrypt hashing, JWT issuance, endpoint role rules. Remaining query-level scoping tracked separately as B29/B30.</t>
  </si>
  <si>
    <t xml:space="preserve">B15</t>
  </si>
  <si>
    <t xml:space="preserve">git history</t>
  </si>
  <si>
    <t xml:space="preserve">DB password admin1234 committed</t>
  </si>
  <si>
    <t xml:space="preserve">Mitigated</t>
  </si>
  <si>
    <t xml:space="preserve">.env now gitignored. Change the actual DB password.</t>
  </si>
  <si>
    <t xml:space="preserve">B16</t>
  </si>
  <si>
    <t xml:space="preserve">Repo</t>
  </si>
  <si>
    <t xml:space="preserve">CRLF line endings make every diff unreadable</t>
  </si>
  <si>
    <t xml:space="preserve">Fixed: .gitattributes now has * text=auto eol=lf.</t>
  </si>
  <si>
    <t xml:space="preserve">B17</t>
  </si>
  <si>
    <t xml:space="preserve">FormsServiceImpl</t>
  </si>
  <si>
    <t xml:space="preserve">Unused PatientIntakeRepository autowire + import</t>
  </si>
  <si>
    <t xml:space="preserve">Removed during 0.3 sweep.</t>
  </si>
  <si>
    <t xml:space="preserve">B18</t>
  </si>
  <si>
    <t xml:space="preserve">updateForm does not update painPoints</t>
  </si>
  <si>
    <t xml:space="preserve">Fixed: updateForm now calls replacePainPoints(); orphanRemoval deletes dropped markers.</t>
  </si>
  <si>
    <t xml:space="preserve">B19</t>
  </si>
  <si>
    <t xml:space="preserve">src/test</t>
  </si>
  <si>
    <t xml:space="preserve">BackendApplicationTests deleted; zero tests exist</t>
  </si>
  <si>
    <t xml:space="preserve">Open</t>
  </si>
  <si>
    <t xml:space="preserve">2 of 5 tests written. Still the only integration check, and it does not exercise form creation at all.</t>
  </si>
  <si>
    <t xml:space="preserve">B20</t>
  </si>
  <si>
    <t xml:space="preserve">.git</t>
  </si>
  <si>
    <t xml:space="preserve">Stale index.lock left by the review bridge</t>
  </si>
  <si>
    <t xml:space="preserve">Fixed: lock cleared.</t>
  </si>
  <si>
    <t xml:space="preserve">B21</t>
  </si>
  <si>
    <t xml:space="preserve">Branch/Forms + User/Demographics</t>
  </si>
  <si>
    <t xml:space="preserve">Bidirectional relationships with no @ToString.Exclude / @EqualsAndHashCode.Exclude</t>
  </si>
  <si>
    <t xml:space="preserve">Fixed: excludes added to all 5 bidirectional fields.</t>
  </si>
  <si>
    <t xml:space="preserve">B22</t>
  </si>
  <si>
    <t xml:space="preserve">Branch.java</t>
  </si>
  <si>
    <t xml:space="preserve">@OneToMany(cascade = ALL) on Branch.forms</t>
  </si>
  <si>
    <t xml:space="preserve">Fixed: cascade removed from Branch.forms. Patient records survive branch deletion.</t>
  </si>
  <si>
    <t xml:space="preserve">B23</t>
  </si>
  <si>
    <t xml:space="preserve">Demographics.java</t>
  </si>
  <si>
    <t xml:space="preserve">@JoinColumn(name = "usersId") is camelCase; Forms uses users_id</t>
  </si>
  <si>
    <t xml:space="preserve">Fixed: renamed to users_id.</t>
  </si>
  <si>
    <t xml:space="preserve">B24</t>
  </si>
  <si>
    <t xml:space="preserve">MassageController</t>
  </si>
  <si>
    <t xml:space="preserve">@GetMapping("/{price}") bound to @PathVariable("massagePrice"); @PutMapping("/{id}") bound to massageId</t>
  </si>
  <si>
    <t xml:space="preserve">Name mismatches would fail at startup. Endpoints rebuilt around /{id}.</t>
  </si>
  <si>
    <t xml:space="preserve">B25</t>
  </si>
  <si>
    <t xml:space="preserve">role mapped without @Enumerated - JPA silently defaults to ORDINAL</t>
  </si>
  <si>
    <t xml:space="preserve">Stores 0/1/2 not CUSTOMER/STAFF/ADMIN. Reordering the enum later would silently reassign access. Now EnumType.STRING.</t>
  </si>
  <si>
    <t xml:space="preserve">B26</t>
  </si>
  <si>
    <t xml:space="preserve">price was a Float</t>
  </si>
  <si>
    <t xml:space="preserve">Floating point cannot represent money exactly; totals drift and revenue will not reconcile. Now BigDecimal(10,2).</t>
  </si>
  <si>
    <t xml:space="preserve">B27</t>
  </si>
  <si>
    <t xml:space="preserve">complaint fields were free-text String</t>
  </si>
  <si>
    <t xml:space="preserve">"Sciatica" vs "sciatica" were different conditions; AI contraindication lookup would miss. Now ComplaintType enum.</t>
  </si>
  <si>
    <t xml:space="preserve">B28</t>
  </si>
  <si>
    <t xml:space="preserve">.env</t>
  </si>
  <si>
    <t xml:space="preserve">Two JWT_SECRET lines - placeholder and real value</t>
  </si>
  <si>
    <t xml:space="preserve">Whichever won depended on the loader. The 50-char placeholder passes the 256-bit check, so the app would have booted happily signing tokens with a value committed in .env.example. Silent, not an error.</t>
  </si>
  <si>
    <t xml:space="preserve">B29</t>
  </si>
  <si>
    <t xml:space="preserve">0.6c-2</t>
  </si>
  <si>
    <t xml:space="preserve">createForm trusts userId and branchId from the request body</t>
  </si>
  <si>
    <t xml:space="preserve">VERIFIED 2026-08-22: createForm already reads CurrentUser.id() and overrides the body for a CUSTOMER. Was fixed in an earlier session and never marked.</t>
  </si>
  <si>
    <t xml:space="preserve">B30</t>
  </si>
  <si>
    <t xml:space="preserve">FormsController</t>
  </si>
  <si>
    <t xml:space="preserve">GET /api/v1/forms returns every patient assessment to any authenticated user</t>
  </si>
  <si>
    <t xml:space="preserve">VERIFIED 2026-08-22: getAllForms already branches on role - ADMIN all, STAFF own branch, CUSTOMER own records via findByUserId. Fixed in an earlier session and never marked.</t>
  </si>
  <si>
    <t xml:space="preserve">B31</t>
  </si>
  <si>
    <t xml:space="preserve">All 6 controllers</t>
  </si>
  <si>
    <t xml:space="preserve">@CrossOrigin annotations duplicate the CorsConfigurationSource bean</t>
  </si>
  <si>
    <t xml:space="preserve">Still on all six controllers, duplicating the CorsConfigurationSource bean.</t>
  </si>
  <si>
    <t xml:space="preserve">B32</t>
  </si>
  <si>
    <t xml:space="preserve">Repo root</t>
  </si>
  <si>
    <t xml:space="preserve">Superseded HilotSpa_Baseline_Observation.xlsx still present</t>
  </si>
  <si>
    <t xml:space="preserve">HilotSpa_Baseline_Observation.xlsx still in the repo root, superseded by two split workbooks.</t>
  </si>
  <si>
    <t xml:space="preserve">B33</t>
  </si>
  <si>
    <t xml:space="preserve">hilotspaObsidia/ untracked - neither committed nor ignored</t>
  </si>
  <si>
    <t xml:space="preserve">hilotspaObsidia/ is gitignored; it no longer shows as untracked.</t>
  </si>
  <si>
    <t xml:space="preserve">B34</t>
  </si>
  <si>
    <t xml:space="preserve">package.json</t>
  </si>
  <si>
    <t xml:space="preserve">tailwindcss listed in BOTH dependencies (^4.3.3) and devDependencies (^4.1.12). Two versions of one package resolve unpredictably.</t>
  </si>
  <si>
    <t xml:space="preserve">Now devDependencies only. tailwindcss and @tailwindcss/postcss must match exactly in v4.</t>
  </si>
  <si>
    <t xml:space="preserve">B35</t>
  </si>
  <si>
    <t xml:space="preserve">0.6c</t>
  </si>
  <si>
    <t xml:space="preserve">FormsTransformImpl + FormsServiceImpl</t>
  </si>
  <si>
    <t xml:space="preserve">transform(FormsModel) and applyFields do the SAME entity mapping in two places. Every new field must be added to both or they silently drift.</t>
  </si>
  <si>
    <t xml:space="preserve">Found while wiring Forms.intent. Not urgent, but it will cause a "why is this field null" hunt eventually.</t>
  </si>
  <si>
    <t xml:space="preserve">B36</t>
  </si>
  <si>
    <t xml:space="preserve">JWT_SECRET and SPRING_PROFILES_ACTIVE were never passed into the backend container. application.properties could not resolve ${JWT_SECRET}, the context failed, restart: on-failure turned it into a silent crash loop.</t>
  </si>
  <si>
    <t xml:space="preserve">Presented as "could not reach server". Fixed with env_file: .env plus environment overrides for DB_HOST/DB_PORT. Same family as B28.</t>
  </si>
  <si>
    <t xml:space="preserve">B37</t>
  </si>
  <si>
    <t xml:space="preserve">FormsAccessControlTest</t>
  </si>
  <si>
    <t xml:space="preserve">The createForm helper posts a JSON body with no "intent". It is currently dead code, so the suite is green while the fixture is invalid.</t>
  </si>
  <si>
    <t xml:space="preserve">It will fail the moment test three is written, with a 500 on a test about authorization.</t>
  </si>
  <si>
    <t xml:space="preserve">B38</t>
  </si>
  <si>
    <t xml:space="preserve">tailwind.css</t>
  </si>
  <si>
    <t xml:space="preserve">Tailwind 4 @theme only emits variables it sees used, and it scans templates for utility classes, not var() in .scss. --radius-* and the tap size were dropped, so every input lost its height and corners.</t>
  </si>
  <si>
    <t xml:space="preserve">Fixed with @theme static plus a :root block in styles.scss. Also renamed --spacing-tap to --tap: --spacing-* is Tailwind own namespace.</t>
  </si>
  <si>
    <t xml:space="preserve">B39</t>
  </si>
  <si>
    <t xml:space="preserve">interactions.scss</t>
  </si>
  <si>
    <t xml:space="preserve">.mk.static sets transform:none, but the hover rule re-applied translate(-50%,-50%). Every marker in the "Spots you marked" list jumped on hover.</t>
  </si>
  <si>
    <t xml:space="preserve">Static markers now scale in place.</t>
  </si>
  <si>
    <t xml:space="preserve">B40</t>
  </si>
  <si>
    <t xml:space="preserve">review.html</t>
  </si>
  <si>
    <t xml:space="preserve">The C7 thumbnails rendered real &lt;button&gt; markers with no handler bound: three focusable controls that did nothing.</t>
  </si>
  <si>
    <t xml:space="preserve">BodyMap now takes an interactive input; review passes false and the markers render disabled.</t>
  </si>
  <si>
    <t xml:space="preserve">B41</t>
  </si>
  <si>
    <t xml:space="preserve">mockup JS</t>
  </si>
  <si>
    <t xml:space="preserve">getAttribute on a valueless attribute returns "" (falsy), so a hasAttribute check was needed. Filters silently did nothing.</t>
  </si>
  <si>
    <t xml:space="preserve">Prototype only, but the same trap exists with bare attribute inputs in Angular.</t>
  </si>
  <si>
    <t xml:space="preserve">B42</t>
  </si>
  <si>
    <t xml:space="preserve">Forms.java / FormsModel</t>
  </si>
  <si>
    <t xml:space="preserve">intent was added to the entity as NOT NULL but not to the model, transformer or applyFields. Every form creation would have inserted null and failed at the database.</t>
  </si>
  <si>
    <t xml:space="preserve">Compiled cleanly. Same family as the three Session 3 boot failures: the compiler cannot see a field you forgot to use.</t>
  </si>
  <si>
    <t xml:space="preserve">B43</t>
  </si>
  <si>
    <t xml:space="preserve">SecurityConfig line 68</t>
  </si>
  <si>
    <t xml:space="preserve">/api/v1/demographics/** is hasAnyRole(STAFF, ADMIN), so a CUSTOMER cannot save their own C3 answers.</t>
  </si>
  <si>
    <t xml:space="preserve">Added POST/GET /api/v1/demographics/me - identity from the JWT, body never trusted. SecurityConfig rule placed ABOVE the STAFF/ADMIN line (Spring takes the first match). /create, /{id}, PUT and the list stay STAFF+ADMIN for walk-ins.</t>
  </si>
  <si>
    <t xml:space="preserve">B44</t>
  </si>
  <si>
    <t xml:space="preserve">assessment.store.ts</t>
  </si>
  <si>
    <t xml:space="preserve">buildRemarks() packs occupation, illness detail, therapy detail and safety flags into a text blob because H1/H2 have not landed.</t>
  </si>
  <si>
    <t xml:space="preserve">Marked TEMPORARY in the code. A blob is not queryable and cannot be shown back on the review screen.</t>
  </si>
  <si>
    <t xml:space="preserve">B45</t>
  </si>
  <si>
    <t xml:space="preserve">mainComplaint is now nullable so a leisure assessment can save. The conditional rule - required when intent=PAIN, forbidden when LEISURE - is not enforced anywhere.</t>
  </si>
  <si>
    <t xml:space="preserve">A column constraint cannot express it. It belongs in createForm as a guard that throws 400.</t>
  </si>
  <si>
    <t xml:space="preserve">B46</t>
  </si>
  <si>
    <t xml:space="preserve">core/demo.ts</t>
  </si>
  <si>
    <t xml:space="preserve">Every figure on the Sprint 2 and 3 screens is placeholder data.</t>
  </si>
  <si>
    <t xml:space="preserve">Deliberate and labelled: each block carries a TODO naming the endpoint that replaces it. Logged so it cannot be forgotten before the defense.</t>
  </si>
  <si>
    <t xml:space="preserve">B47</t>
  </si>
  <si>
    <t xml:space="preserve">6 x &lt;select&gt; across profile, history, body map, walk-in</t>
  </si>
  <si>
    <t xml:space="preserve">&lt;select [value]="x"&gt; with @for options assigns the value in the same change-detection pass that creates the &lt;option&gt; elements, so it silently resets to the first one. Civil status never saved.</t>
  </si>
  <si>
    <t xml:space="preserve">Bind [selected] on the option instead. It was wrong in six places, not just the one he reported.</t>
  </si>
  <si>
    <t xml:space="preserve">B48</t>
  </si>
  <si>
    <t xml:space="preserve">app-nav</t>
  </si>
  <si>
    <t xml:space="preserve">The avatar called auth.logout() on click. One stray click ended the session and took a half-filled assessment with it.</t>
  </si>
  <si>
    <t xml:space="preserve">Opens an account menu now.</t>
  </si>
  <si>
    <t xml:space="preserve">B49</t>
  </si>
  <si>
    <t xml:space="preserve">Two "Submit my assessment" buttons on one screen - ambiguous which one saved.</t>
  </si>
  <si>
    <t xml:space="preserve">Footer only.</t>
  </si>
  <si>
    <t xml:space="preserve">B50</t>
  </si>
  <si>
    <t xml:space="preserve">review.ts</t>
  </si>
  <si>
    <t xml:space="preserve">After a successful submit the router went back to /assessment/intent. Submitting read as "nothing happened".</t>
  </si>
  <si>
    <t xml:space="preserve">Goes to /book - a completed assessment is what unlocks the assistant.</t>
  </si>
  <si>
    <t xml:space="preserve">B51</t>
  </si>
  <si>
    <t xml:space="preserve">intent.ts</t>
  </si>
  <si>
    <t xml:space="preserve">Leisure reached the assistant without writing a Forms record.</t>
  </si>
  <si>
    <t xml:space="preserve">Would have made the pain/leisure fork cosmetic and destroyed the SS E1 defense line. Now one tap that saves first, then goes to /book.</t>
  </si>
  <si>
    <t xml:space="preserve">B52</t>
  </si>
  <si>
    <t xml:space="preserve">4 wizard steps</t>
  </si>
  <si>
    <t xml:space="preserve">"Save and finish later" and "Back to home" called auth.logout().</t>
  </si>
  <si>
    <t xml:space="preserve">Hostile behaviour on a half-filled form.</t>
  </si>
  <si>
    <t xml:space="preserve">B53</t>
  </si>
  <si>
    <t xml:space="preserve">An empty PAIN assessment - no spots, no chief complaint - could be submitted.</t>
  </si>
  <si>
    <t xml:space="preserve">Client-side guard added. The SERVER-side guard is still B45.</t>
  </si>
  <si>
    <t xml:space="preserve">B54</t>
  </si>
  <si>
    <t xml:space="preserve">home.ts</t>
  </si>
  <si>
    <t xml:space="preserve">Cancelling a booking lived in a signal only, so a refresh brought it back.</t>
  </si>
  <si>
    <t xml:space="preserve">BookingStore persisted to localStorage until DELETE /appointments exists.</t>
  </si>
  <si>
    <t xml:space="preserve">B55</t>
  </si>
  <si>
    <t xml:space="preserve">home.html</t>
  </si>
  <si>
    <t xml:space="preserve">"View report" opened /assessment/review - the live wizard. A finished session could be rewritten, and what was edited was the NEW draft, not the old record.</t>
  </si>
  <si>
    <t xml:space="preserve">Read-only /report/:id.</t>
  </si>
  <si>
    <t xml:space="preserve">B56</t>
  </si>
  <si>
    <t xml:space="preserve">body-map</t>
  </si>
  <si>
    <t xml:space="preserve">Free coordinates let markers land in empty space beside the torso, and the region label rendered blank.</t>
  </si>
  <si>
    <t xml:space="preserve">Rebuilt on 30 fixed hotspots. Region is now a fact about which point was tapped.</t>
  </si>
  <si>
    <t xml:space="preserve">B57</t>
  </si>
  <si>
    <t xml:space="preserve">process</t>
  </si>
  <si>
    <t xml:space="preserve">Two patches failed SILENTLY because Liodoq had edited the same file (renamed leave() to back()). String-match patching found nothing and reported success.</t>
  </si>
  <si>
    <t xml:space="preserve">Read before patching when both parties are editing. Verify after every patch batch.</t>
  </si>
  <si>
    <t xml:space="preserve">B58</t>
  </si>
  <si>
    <t xml:space="preserve">PatientIntakeModel</t>
  </si>
  <si>
    <t xml:space="preserve">The UI now records the client left/right, but there is no column to send it to.</t>
  </si>
  <si>
    <t xml:space="preserve">Paper form findings table has L and R columns. Logged as SS H8. Data is captured and dropped.</t>
  </si>
  <si>
    <t xml:space="preserve">B59</t>
  </si>
  <si>
    <t xml:space="preserve">PatientIntakeRepository</t>
  </si>
  <si>
    <t xml:space="preserve">findPatientIntakeByAnatomicalRegionAndPainScore survived the H1-H8 rename with a stale property name AND a stale String parameter. Compiled clean, crash-looped at boot.</t>
  </si>
  <si>
    <t xml:space="preserve">Both methods had zero callers and were deleted, not renamed. The coordinate lookup also wrongly assumed an (x,y) pair is unique across all clients.</t>
  </si>
  <si>
    <t xml:space="preserve">B60</t>
  </si>
  <si>
    <t xml:space="preserve">n8n Validate and rank</t>
  </si>
  <si>
    <t xml:space="preserve">A 401 from Vertex and a deactivated Vertex node both reported modelUsed=stub, so a broken credential was indistinguishable from a healthy FALLBACK.</t>
  </si>
  <si>
    <t xml:space="preserve">Now separates stub / error / model-version and surfaces Google's message in parseError. This is what found B61.</t>
  </si>
  <si>
    <t xml:space="preserve">B61</t>
  </si>
  <si>
    <t xml:space="preserve">n8n Google Service Account credential</t>
  </si>
  <si>
    <t xml:space="preserve">Vertex returns 401 UNAUTHENTICATED - 'missing required authentication credential'. No token is being attached; 401 not 403 rules out the IAM role.</t>
  </si>
  <si>
    <t xml:space="preserve">ROOT CAUSE: the Google Service Account credential has a 'Set up for use in HTTP Request node' TOGGLE, not a plain Scope(s) field. Off by default, so the generic HTTP node got no token. The Vertex Chat Model node uses the credential natively and never needed it - which is why chat worked while recommend returned 401 on the same credential.</t>
  </si>
  <si>
    <t xml:space="preserve">B62</t>
  </si>
  <si>
    <t xml:space="preserve">GEMINI_API_KEY sat in .env looking load-bearing. Spring never calls Gemini - n8n does - so it was never read.</t>
  </si>
  <si>
    <t xml:space="preserve">Commented out with the reason. An empty variable that looks required is worse than no variable.</t>
  </si>
  <si>
    <t xml:space="preserve">B63</t>
  </si>
  <si>
    <t xml:space="preserve">GCP project identity</t>
  </si>
  <si>
    <t xml:space="preserve">Chat model was set to project 'talkingAgent'. RESOLVED: that is the display name; the id is gen-lang-client-0276346734, same project as the service account JSON. No mismatch.</t>
  </si>
  <si>
    <t xml:space="preserve">Remaining: confirm the Vertex AI API is ENABLED on gen-lang-client-0276346734 and that billing/credits are attached. This is an AI Studio auto-created project, so neither is guaranteed.</t>
  </si>
  <si>
    <t xml:space="preserve">B64</t>
  </si>
  <si>
    <t xml:space="preserve">n8n Vertex chat + recommend</t>
  </si>
  <si>
    <t xml:space="preserve">Chat reply was cut off mid-sentence ('...ensure the pressure is'). gemini-2.5-flash is a thinking model and reasoning tokens count against maxOutputTokens, so a small budget is spent before any text is emitted.</t>
  </si>
  <si>
    <t xml:space="preserve">Fixed by maxOutputTokens 2048 + thinkingConfig.thinkingBudget 0 in the Vertex Gemini JSON body. Before: thoughtTokens 491, answerTokens 6, finishReason MAX_TOKENS. After: parseError null. STILL TO DO: the chat model node is on 400 tokens and will truncate the same way - set it to 2048.</t>
  </si>
  <si>
    <t xml:space="preserve">B65</t>
  </si>
  <si>
    <t xml:space="preserve">DemographicsServiceImpl</t>
  </si>
  <si>
    <t xml:space="preserve">createDemographics never set the user - the code carried a 'should be handled here if needed' note. Every row was written orphaned with users_id NULL, so findByUserId could never retrieve it and the profile silently vanished.</t>
  </si>
  <si>
    <t xml:space="preserve">Postgres allows unlimited NULLs through a unique constraint, so nothing ever complained. Fixed in saveMine, which sets the user from the token.</t>
  </si>
  <si>
    <t xml:space="preserve">B66</t>
  </si>
  <si>
    <t xml:space="preserve">Demographics entity</t>
  </si>
  <si>
    <t xml:space="preserve">height and weight were @Column(nullable = false) while the UI and the paper form both treat them as optional. A client leaving weight blank would have hit a constraint violation on save.</t>
  </si>
  <si>
    <t xml:space="preserve">Made nullable. Blocking a booking over an unstated weight fails NFR#4. Needs docker compose down -v - ddl-auto=update does not drop NOT NULL.</t>
  </si>
  <si>
    <t xml:space="preserve">B67</t>
  </si>
  <si>
    <t xml:space="preserve">auth.service logout</t>
  </si>
  <si>
    <t xml:space="preserve">logout() cleared the auth token but left the cached profile in localStorage - another person's birth date, civil status and occupation, on what is a shared machine at the front desk.</t>
  </si>
  <si>
    <t xml:space="preserve">Found while moving ProfileStore onto the server. logout() now clears PROFILE_CACHE_KEY too.</t>
  </si>
  <si>
    <t xml:space="preserve">B68</t>
  </si>
  <si>
    <t xml:space="preserve">process / compose</t>
  </si>
  <si>
    <t xml:space="preserve">docker compose down -v wiped the n8n volume - workflows, Vertex credential, owner account and execution history. Claude gave the command without checking that n8n_data lived in the same compose project.</t>
  </si>
  <si>
    <t xml:space="preserve">Recovery took ~10 min because both workflows are version-controlled files and the service-account JSON was still on disk. Only the credential is unrecoverable by design (encrypted per instance). Documented in n8n/SETUP.md with the drop-one-volume command and a volume backup. LESSON: check what else shares the compose project before suggesting a destructive flag.</t>
  </si>
  <si>
    <t xml:space="preserve">B69</t>
  </si>
  <si>
    <t xml:space="preserve">1.15</t>
  </si>
  <si>
    <t xml:space="preserve">booking.store.ts / home / session-report</t>
  </si>
  <si>
    <t xml:space="preserve">A brand-new account opened onto three fictional past sessions and a fictional body map. BookingStore seeded history from demo.ts PAST_VISITS at module load and home rendered LAST_POINTS, so EVERY user saw the same clinical record. Every session report showed the same body map too.</t>
  </si>
  <si>
    <t xml:space="preserve">Found by Liodoq registering a fresh email. Now loads GET /api/v1/forms, which the backend already scopes to the caller. New account shows nothing, which is correct. lastPoints comes from the client's own most recent form; each report renders its own marks. Also fixes the enum leak in the UI (LOWER_BACK_PAIN -&gt; Lower Back Pain).</t>
  </si>
  <si>
    <t xml:space="preserve">B70</t>
  </si>
  <si>
    <t xml:space="preserve">auth.service / profile.store</t>
  </si>
  <si>
    <t xml:space="preserve">Registering or logging in as a different user in the same browser kept the previous client's demographics. logout() cleared the cache, but accept() did not - so a brand new account opened onto the last person's birth date, sex, civil status and occupation.</t>
  </si>
  <si>
    <t xml:space="preserve">Found by Liodoq registering a@gmail.com after his own account. accept() now compares the incoming userId to the current one and wipes BOTH caches, in memory and in localStorage, on any change - then reloads from the server. The front desk is a shared machine, so this is a real disclosure, not a demo artefact.</t>
  </si>
  <si>
    <t xml:space="preserve">B71</t>
  </si>
  <si>
    <t xml:space="preserve">The wellness profile card had 'Lower Back Pain', '1 - 6 months', 'High blood pressure' and 'From your last assessment, 2 August' written directly into the template, so every account showed them even after the data layer was fixed.</t>
  </si>
  <si>
    <t xml:space="preserve">Bound to the client's own most recent form, with a real empty state for a new account. Duration and the record note only render when present.</t>
  </si>
  <si>
    <t xml:space="preserve">HilotSpa — Defense Risk Register</t>
  </si>
  <si>
    <t xml:space="preserve">The paper cannot be edited. These are the contradictions a panelist may find, and how the BUILD resolves each one.</t>
  </si>
  <si>
    <t xml:space="preserve">Area</t>
  </si>
  <si>
    <t xml:space="preserve">Risk / Contradiction in the frozen paper</t>
  </si>
  <si>
    <t xml:space="preserve">Engineered resolution</t>
  </si>
  <si>
    <t xml:space="preserve">Where it lands</t>
  </si>
  <si>
    <t xml:space="preserve">R1</t>
  </si>
  <si>
    <t xml:space="preserve">Architecture</t>
  </si>
  <si>
    <t xml:space="preserve">Offline survival (NFR#1) and guaranteed no double-booking (Process Rule #4) are contradictory under CAP.</t>
  </si>
  <si>
    <t xml:space="preserve">Partition write authority by physical resource ownership. A therapist/room belongs to exactly one branch, so cross-branch conflict cannot exist. Each node is sole writer for its own resources; peers hold read-only replicas.</t>
  </si>
  <si>
    <t xml:space="preserve">Sprint 3.4</t>
  </si>
  <si>
    <t xml:space="preserve">R2</t>
  </si>
  <si>
    <t xml:space="preserve">Requirements</t>
  </si>
  <si>
    <t xml:space="preserve">Process Rule #2 locks the chatbot until pre-assessment completes, but Significance promises leisure clients can bypass the forms.</t>
  </si>
  <si>
    <t xml:space="preserve">First screen forks: 'I have pain' vs 'I'm here to relax'. The leisure path still WRITES a completed assessment record in one tap. The gate is on completion, not length.</t>
  </si>
  <si>
    <t xml:space="preserve">Sprint 1.4</t>
  </si>
  <si>
    <t xml:space="preserve">Resolved</t>
  </si>
  <si>
    <t xml:space="preserve">R3</t>
  </si>
  <si>
    <t xml:space="preserve">AI Integrity</t>
  </si>
  <si>
    <t xml:space="preserve">Paper claims n8n is a 'strict filtering layer' preventing hallucinated medical advice. n8n is an orchestrator and does no such thing by itself.</t>
  </si>
  <si>
    <t xml:space="preserve">Give n8n three concrete jobs: (1) assemble prompt from DB only, (2) constrained structured output where serviceId is an enum of real catalog IDs, (3) post-validate against the catalog and reject anything else.</t>
  </si>
  <si>
    <t xml:space="preserve">Sprint 2.3</t>
  </si>
  <si>
    <t xml:space="preserve">R4</t>
  </si>
  <si>
    <t xml:space="preserve">Ethics / Scope</t>
  </si>
  <si>
    <t xml:space="preserve">Process Rule #3 excludes contraindicated services, but the Delimitation says no medical advice. Excluding a service on health grounds IS a clinical decision.</t>
  </si>
  <si>
    <t xml:space="preserve">Contraindication rules authored and signed off by the spa's bone setter, stored in a DB table, applied in Java BEFORE the AI is called. Put the signed table in the appendix.</t>
  </si>
  <si>
    <t xml:space="preserve">Sprint 2.4</t>
  </si>
  <si>
    <t xml:space="preserve">R5</t>
  </si>
  <si>
    <t xml:space="preserve">Evaluation</t>
  </si>
  <si>
    <t xml:space="preserve">Research locale names only one branch, but the decentralization claim needs at least two nodes.</t>
  </si>
  <si>
    <t xml:space="preserve">Run a second node on a laptop or VM on the same LAN. Demo sync by physically unplugging the network. Rehearse it.</t>
  </si>
  <si>
    <t xml:space="preserve">Sprint 3.10</t>
  </si>
  <si>
    <t xml:space="preserve">R6</t>
  </si>
  <si>
    <t xml:space="preserve">Objective 4 says evaluate 'AI reliability', but CUQ measures perceived usability, not reliability.</t>
  </si>
  <si>
    <t xml:space="preserve">Add an objective measure to the Technical &amp; Operational Checklist: agreement rate between the AI recommendation and a therapist's blind independent recommendation over &gt;=30 trials, plus 0 out-of-catalog outputs.</t>
  </si>
  <si>
    <t xml:space="preserve">Sprint 4.4</t>
  </si>
  <si>
    <t xml:space="preserve">R7</t>
  </si>
  <si>
    <t xml:space="preserve">Scope</t>
  </si>
  <si>
    <t xml:space="preserve">Significance promises owners can monitor revenue, but the Delimitation excludes payment processing.</t>
  </si>
  <si>
    <t xml:space="preserve">Appointment snapshots the service price at booking. Staff mark PAID_AT_COUNTER. Revenue = sum of completed appointments. No payment processing involved.</t>
  </si>
  <si>
    <t xml:space="preserve">Sprint 0.5</t>
  </si>
  <si>
    <t xml:space="preserve">R8</t>
  </si>
  <si>
    <t xml:space="preserve">Presentation</t>
  </si>
  <si>
    <t xml:space="preserve">Figures 8.1 and 8.2 are both captioned 'Sprint 2'. Two tables are both numbered as Gap Analysis but the TOC lists one. References [12] and [34] are the same paper.</t>
  </si>
  <si>
    <t xml:space="preserve">Cosmetic. Fix if the adviser still permits caption-level edits; otherwise be ready to acknowledge it.</t>
  </si>
  <si>
    <t xml:space="preserve">Paper</t>
  </si>
  <si>
    <t xml:space="preserve">R9</t>
  </si>
  <si>
    <t xml:space="preserve">Appendix A has two halves. The bottom half is the bone setter own working sheet - spine chart C1-L5, the ADJUSTMENTS grid, the findings table. None of it is digitised, and a panelist who has seen the form will ask where it went.</t>
  </si>
  <si>
    <t xml:space="preserve">State the boundary explicitly: the system digitises the client-completed portion. S4 covers the findings table and BEFORE/AFTER pain; the adjustment record stays on paper for this study.</t>
  </si>
  <si>
    <t xml:space="preserve">Paper Ch.3 + S4</t>
  </si>
  <si>
    <t xml:space="preserve">R10</t>
  </si>
  <si>
    <t xml:space="preserve">The establishment trades as Knead Wellness Spa. The paper, the signed permission letter, and the running UI each use a different name.</t>
  </si>
  <si>
    <t xml:space="preserve">Adviser picks one convention. Safer option: registered name with a parenthetical on first mention.</t>
  </si>
  <si>
    <t xml:space="preserve">Paper SS A3</t>
  </si>
  <si>
    <t xml:space="preserve">R11</t>
  </si>
  <si>
    <t xml:space="preserve">Ethics</t>
  </si>
  <si>
    <t xml:space="preserve">A researcher shares a surname with the owners. Undisclosed, this looks like concealment; disclosed, it is routine.</t>
  </si>
  <si>
    <t xml:space="preserve">One sentence in the Research Locale section, plus the bias controls already in place (clock-time-only observation, practitioner-signed protocol).</t>
  </si>
  <si>
    <t xml:space="preserve">Paper SS A4</t>
  </si>
  <si>
    <t xml:space="preserve">R12</t>
  </si>
  <si>
    <t xml:space="preserve">Schema is built by ddl-auto=update. On a decentralised system each branch runs its own Postgres, and "Hibernate will work it out on each node" is not a migration strategy.</t>
  </si>
  <si>
    <t xml:space="preserve">Flyway baseline migration before any second node exists.</t>
  </si>
  <si>
    <t xml:space="preserve">Sprint 0.7</t>
  </si>
  <si>
    <t xml:space="preserve">R13</t>
  </si>
  <si>
    <t xml:space="preserve">The pre-implementation baseline still has not been collected, and the digital intake now works. Once it is in use at the counter the manual process cannot be observed.</t>
  </si>
  <si>
    <t xml:space="preserve">Do the timing study before deployment, or state honestly in Ch.4 that the 10-15 minute figure is borrowed from literature.</t>
  </si>
  <si>
    <t xml:space="preserve">Sprint 4.1</t>
  </si>
  <si>
    <t xml:space="preserve">R14</t>
  </si>
  <si>
    <t xml:space="preserve">Service detail pages are a 23rd screen. The paper inventory names 22, derived from Figures 2 and 3.1-3.3.</t>
  </si>
  <si>
    <t xml:space="preserve">Either add it as C8a with a one-line justification, or fold the detail view into C8 as an expanding panel so the count holds.</t>
  </si>
  <si>
    <t xml:space="preserve">Paper Ch.3</t>
  </si>
  <si>
    <t xml:space="preserve">R15</t>
  </si>
  <si>
    <t xml:space="preserve">AI reliability</t>
  </si>
  <si>
    <t xml:space="preserve">The conversational assistant returns free text. Unlike the recommendation path, a reply cannot be structurally validated - there is no id to check against an allow-list.</t>
  </si>
  <si>
    <t xml:space="preserve">Mitigations are stated openly instead of hidden: a constrained system prompt built from DB values only, NO tools attached to the agent, no write access of any kind, and a fixed refusal script for red-flag symptoms. Backed by the Sprint 2.15 adversarial test screenshots.</t>
  </si>
  <si>
    <t xml:space="preserve">Sprint 2.13</t>
  </si>
  <si>
    <t xml:space="preserve">R16</t>
  </si>
  <si>
    <t xml:space="preserve">Data privacy</t>
  </si>
  <si>
    <t xml:space="preserve">Sending a named client's pain map, pain scores and medical history to an LLM tier whose terms permit human review and training would contradict the consent form and the Data Privacy Act of 2012.</t>
  </si>
  <si>
    <t xml:space="preserve">Vertex AI on Google Cloud terms instead of the AI Studio free tier: not used for training, no human review, region pinned to asia-southeast1. Cite the data-governance page in Ch.3.</t>
  </si>
  <si>
    <t xml:space="preserve">Sprint 2.14</t>
  </si>
  <si>
    <t xml:space="preserve">R17</t>
  </si>
  <si>
    <t xml:space="preserve">AI safety</t>
  </si>
  <si>
    <t xml:space="preserve">An assistant that can book is an assistant that can double-book, invent a time, or treat its own suggestion as the client's agreement. A model cannot hold a database lock, so Process Rule #4 cannot be enforced anywhere the model writes.</t>
  </si>
  <si>
    <t xml:space="preserve">The model only ever proposes, and only from a closed slot list Spring computed. Every slotId is validated against that list; an unknown one drops the proposal AND the sentence that described it. The write happens in Spring inside a transaction that re-checks availability, and only after the client taps Confirm.</t>
  </si>
  <si>
    <t xml:space="preserve">Sprint 2.18-2.21</t>
  </si>
</sst>
</file>

<file path=xl/styles.xml><?xml version="1.0" encoding="utf-8"?>
<styleSheet xmlns="http://schemas.openxmlformats.org/spreadsheetml/2006/main">
  <numFmts count="2">
    <numFmt numFmtId="164" formatCode="General"/>
    <numFmt numFmtId="165" formatCode="0.0%"/>
  </numFmts>
  <fonts count="9">
    <font>
      <sz val="11"/>
      <color theme="1"/>
      <name val="Calibri"/>
      <family val="2"/>
      <charset val="1"/>
    </font>
    <font>
      <sz val="10"/>
      <name val="Arial"/>
      <family val="0"/>
    </font>
    <font>
      <sz val="10"/>
      <name val="Arial"/>
      <family val="0"/>
    </font>
    <font>
      <sz val="10"/>
      <name val="Arial"/>
      <family val="0"/>
    </font>
    <font>
      <b val="true"/>
      <sz val="14"/>
      <color rgb="FF1F4E5F"/>
      <name val="Arial"/>
      <family val="0"/>
      <charset val="1"/>
    </font>
    <font>
      <i val="true"/>
      <sz val="9"/>
      <color rgb="FF666666"/>
      <name val="Arial"/>
      <family val="0"/>
      <charset val="1"/>
    </font>
    <font>
      <b val="true"/>
      <sz val="11"/>
      <color rgb="FFFFFFFF"/>
      <name val="Arial"/>
      <family val="0"/>
      <charset val="1"/>
    </font>
    <font>
      <b val="true"/>
      <sz val="10"/>
      <name val="Arial"/>
      <family val="0"/>
      <charset val="1"/>
    </font>
    <font>
      <sz val="10"/>
      <name val="Arial"/>
      <family val="0"/>
      <charset val="1"/>
    </font>
  </fonts>
  <fills count="4">
    <fill>
      <patternFill patternType="none"/>
    </fill>
    <fill>
      <patternFill patternType="gray125"/>
    </fill>
    <fill>
      <patternFill patternType="solid">
        <fgColor rgb="FF1F4E5F"/>
        <bgColor rgb="FF333333"/>
      </patternFill>
    </fill>
    <fill>
      <patternFill patternType="solid">
        <fgColor rgb="FFDCE9EF"/>
        <bgColor rgb="FFC6EF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4E5F"/>
          <bgColor rgb="FF000000"/>
        </patternFill>
      </fill>
    </dxf>
    <dxf>
      <fill>
        <patternFill patternType="solid">
          <fgColor rgb="FFDCE9EF"/>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6500"/>
          <bgColor rgb="FF000000"/>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CE9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7" min="2" style="1" width="14"/>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row>
    <row r="5" customFormat="false" ht="15" hidden="false" customHeight="true" outlineLevel="0" collapsed="false">
      <c r="A5" s="5" t="s">
        <v>9</v>
      </c>
      <c r="B5" s="6" t="n">
        <f aca="false">COUNTIF(Tasks!$A$5:$A$84,$A5)</f>
        <v>15</v>
      </c>
      <c r="C5" s="6" t="n">
        <f aca="false">COUNTIFS(Tasks!$A$5:$A$84,$A5,Tasks!$E$5:$E$84,"Done")</f>
        <v>11</v>
      </c>
      <c r="D5" s="6" t="n">
        <f aca="false">COUNTIFS(Tasks!$A$5:$A$84,$A5,Tasks!$E$5:$E$84,"In Progress")</f>
        <v>2</v>
      </c>
      <c r="E5" s="6" t="n">
        <f aca="false">COUNTIFS(Tasks!$A$5:$A$84,$A5,Tasks!$E$5:$E$84,"Not Started")</f>
        <v>2</v>
      </c>
      <c r="F5" s="6" t="n">
        <f aca="false">COUNTIFS(Tasks!$A$5:$A$84,$A5,Tasks!$E$5:$E$84,"Blocked")</f>
        <v>0</v>
      </c>
      <c r="G5" s="7" t="n">
        <f aca="false">IFERROR($C5/$B5,0)</f>
        <v>0.733333333333333</v>
      </c>
    </row>
    <row r="6" customFormat="false" ht="15" hidden="false" customHeight="true" outlineLevel="0" collapsed="false">
      <c r="A6" s="5" t="s">
        <v>10</v>
      </c>
      <c r="B6" s="6" t="n">
        <f aca="false">COUNTIF(Tasks!$A$5:$A$84,$A6)</f>
        <v>15</v>
      </c>
      <c r="C6" s="6" t="n">
        <f aca="false">COUNTIFS(Tasks!$A$5:$A$84,$A6,Tasks!$E$5:$E$84,"Done")</f>
        <v>12</v>
      </c>
      <c r="D6" s="6" t="n">
        <f aca="false">COUNTIFS(Tasks!$A$5:$A$84,$A6,Tasks!$E$5:$E$84,"In Progress")</f>
        <v>1</v>
      </c>
      <c r="E6" s="6" t="n">
        <f aca="false">COUNTIFS(Tasks!$A$5:$A$84,$A6,Tasks!$E$5:$E$84,"Not Started")</f>
        <v>2</v>
      </c>
      <c r="F6" s="6" t="n">
        <f aca="false">COUNTIFS(Tasks!$A$5:$A$84,$A6,Tasks!$E$5:$E$84,"Blocked")</f>
        <v>0</v>
      </c>
      <c r="G6" s="7" t="n">
        <f aca="false">IFERROR($C6/$B6,0)</f>
        <v>0.8</v>
      </c>
    </row>
    <row r="7" customFormat="false" ht="15" hidden="false" customHeight="true" outlineLevel="0" collapsed="false">
      <c r="A7" s="5" t="s">
        <v>11</v>
      </c>
      <c r="B7" s="6" t="n">
        <f aca="false">COUNTIF(Tasks!$A$5:$A$84,$A7)</f>
        <v>26</v>
      </c>
      <c r="C7" s="6" t="n">
        <f aca="false">COUNTIFS(Tasks!$A$5:$A$84,$A7,Tasks!$E$5:$E$84,"Done")</f>
        <v>4</v>
      </c>
      <c r="D7" s="6" t="n">
        <f aca="false">COUNTIFS(Tasks!$A$5:$A$84,$A7,Tasks!$E$5:$E$84,"In Progress")</f>
        <v>3</v>
      </c>
      <c r="E7" s="6" t="n">
        <f aca="false">COUNTIFS(Tasks!$A$5:$A$84,$A7,Tasks!$E$5:$E$84,"Not Started")</f>
        <v>19</v>
      </c>
      <c r="F7" s="6" t="n">
        <f aca="false">COUNTIFS(Tasks!$A$5:$A$84,$A7,Tasks!$E$5:$E$84,"Blocked")</f>
        <v>0</v>
      </c>
      <c r="G7" s="7" t="n">
        <f aca="false">IFERROR($C7/$B7,0)</f>
        <v>0.153846153846154</v>
      </c>
    </row>
    <row r="8" customFormat="false" ht="15" hidden="false" customHeight="true" outlineLevel="0" collapsed="false">
      <c r="A8" s="5" t="s">
        <v>12</v>
      </c>
      <c r="B8" s="6" t="n">
        <f aca="false">COUNTIF(Tasks!$A$5:$A$84,$A8)</f>
        <v>13</v>
      </c>
      <c r="C8" s="6" t="n">
        <f aca="false">COUNTIFS(Tasks!$A$5:$A$84,$A8,Tasks!$E$5:$E$84,"Done")</f>
        <v>0</v>
      </c>
      <c r="D8" s="6" t="n">
        <f aca="false">COUNTIFS(Tasks!$A$5:$A$84,$A8,Tasks!$E$5:$E$84,"In Progress")</f>
        <v>7</v>
      </c>
      <c r="E8" s="6" t="n">
        <f aca="false">COUNTIFS(Tasks!$A$5:$A$84,$A8,Tasks!$E$5:$E$84,"Not Started")</f>
        <v>6</v>
      </c>
      <c r="F8" s="6" t="n">
        <f aca="false">COUNTIFS(Tasks!$A$5:$A$84,$A8,Tasks!$E$5:$E$84,"Blocked")</f>
        <v>0</v>
      </c>
      <c r="G8" s="7" t="n">
        <f aca="false">IFERROR($C8/$B8,0)</f>
        <v>0</v>
      </c>
    </row>
    <row r="9" customFormat="false" ht="15" hidden="false" customHeight="true" outlineLevel="0" collapsed="false">
      <c r="A9" s="5" t="s">
        <v>13</v>
      </c>
      <c r="B9" s="6" t="n">
        <f aca="false">COUNTIF(Tasks!$A$5:$A$84,$A9)</f>
        <v>11</v>
      </c>
      <c r="C9" s="6" t="n">
        <f aca="false">COUNTIFS(Tasks!$A$5:$A$84,$A9,Tasks!$E$5:$E$84,"Done")</f>
        <v>0</v>
      </c>
      <c r="D9" s="6" t="n">
        <f aca="false">COUNTIFS(Tasks!$A$5:$A$84,$A9,Tasks!$E$5:$E$84,"In Progress")</f>
        <v>0</v>
      </c>
      <c r="E9" s="6" t="n">
        <f aca="false">COUNTIFS(Tasks!$A$5:$A$84,$A9,Tasks!$E$5:$E$84,"Not Started")</f>
        <v>11</v>
      </c>
      <c r="F9" s="6" t="n">
        <f aca="false">COUNTIFS(Tasks!$A$5:$A$84,$A9,Tasks!$E$5:$E$84,"Blocked")</f>
        <v>0</v>
      </c>
      <c r="G9" s="7" t="n">
        <f aca="false">IFERROR($C9/$B9,0)</f>
        <v>0</v>
      </c>
    </row>
    <row r="10" customFormat="false" ht="15" hidden="false" customHeight="true" outlineLevel="0" collapsed="false">
      <c r="A10" s="8" t="s">
        <v>14</v>
      </c>
      <c r="B10" s="9" t="n">
        <f aca="false">SUM(B5:B9)</f>
        <v>80</v>
      </c>
      <c r="C10" s="9" t="n">
        <f aca="false">SUM(C5:C9)</f>
        <v>27</v>
      </c>
      <c r="D10" s="9" t="n">
        <f aca="false">SUM(D5:D9)</f>
        <v>13</v>
      </c>
      <c r="E10" s="9" t="n">
        <f aca="false">SUM(E5:E9)</f>
        <v>40</v>
      </c>
      <c r="F10" s="9" t="n">
        <f aca="false">SUM(F5:F9)</f>
        <v>0</v>
      </c>
      <c r="G10" s="10" t="n">
        <f aca="false">IFERROR($C10/$B10,0)</f>
        <v>0.3375</v>
      </c>
    </row>
    <row r="12" customFormat="false" ht="15" hidden="false" customHeight="true" outlineLevel="0" collapsed="false">
      <c r="A12" s="11" t="s">
        <v>15</v>
      </c>
      <c r="B12" s="12" t="n">
        <f aca="false">COUNTIF(Bugs!$F:$F,"Open")</f>
        <v>10</v>
      </c>
    </row>
    <row r="13" customFormat="false" ht="15" hidden="false" customHeight="true" outlineLevel="0" collapsed="false">
      <c r="A13" s="11" t="s">
        <v>16</v>
      </c>
      <c r="B13" s="12" t="n">
        <f aca="false">COUNTIFS(Bugs!$F:$F,"Open",Bugs!$E:$E,"Critical")</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7"/>
    <col collapsed="false" customWidth="true" hidden="false" outlineLevel="0" max="3" min="3" style="1" width="40"/>
    <col collapsed="false" customWidth="true" hidden="false" outlineLevel="0" max="4" min="4" style="1" width="62"/>
    <col collapsed="false" customWidth="true" hidden="false" outlineLevel="0" max="5" min="5" style="1" width="14"/>
    <col collapsed="false" customWidth="true" hidden="false" outlineLevel="0" max="6" min="6" style="1" width="10"/>
    <col collapsed="false" customWidth="true" hidden="false" outlineLevel="0" max="7" min="7" style="1" width="52"/>
  </cols>
  <sheetData>
    <row r="1" customFormat="false" ht="17.25" hidden="false" customHeight="true" outlineLevel="0" collapsed="false">
      <c r="A1" s="2" t="s">
        <v>17</v>
      </c>
    </row>
    <row r="2" customFormat="false" ht="15" hidden="false" customHeight="true" outlineLevel="0" collapsed="false">
      <c r="A2" s="3" t="s">
        <v>18</v>
      </c>
    </row>
    <row r="4" customFormat="false" ht="15" hidden="false" customHeight="true" outlineLevel="0" collapsed="false">
      <c r="A4" s="4" t="s">
        <v>2</v>
      </c>
      <c r="B4" s="4" t="s">
        <v>19</v>
      </c>
      <c r="C4" s="4" t="s">
        <v>20</v>
      </c>
      <c r="D4" s="4" t="s">
        <v>21</v>
      </c>
      <c r="E4" s="4" t="s">
        <v>22</v>
      </c>
      <c r="F4" s="4" t="s">
        <v>23</v>
      </c>
      <c r="G4" s="4" t="s">
        <v>24</v>
      </c>
    </row>
    <row r="5" customFormat="false" ht="23.25" hidden="false" customHeight="true" outlineLevel="0" collapsed="false">
      <c r="A5" s="9" t="s">
        <v>9</v>
      </c>
      <c r="B5" s="13" t="s">
        <v>25</v>
      </c>
      <c r="C5" s="14" t="s">
        <v>26</v>
      </c>
      <c r="D5" s="14" t="s">
        <v>27</v>
      </c>
      <c r="E5" s="13" t="s">
        <v>4</v>
      </c>
      <c r="F5" s="13" t="s">
        <v>28</v>
      </c>
      <c r="G5" s="14" t="s">
        <v>29</v>
      </c>
    </row>
    <row r="6" customFormat="false" ht="23.25" hidden="false" customHeight="true" outlineLevel="0" collapsed="false">
      <c r="A6" s="15" t="s">
        <v>9</v>
      </c>
      <c r="B6" s="6" t="s">
        <v>30</v>
      </c>
      <c r="C6" s="16" t="s">
        <v>31</v>
      </c>
      <c r="D6" s="16" t="s">
        <v>32</v>
      </c>
      <c r="E6" s="6" t="s">
        <v>4</v>
      </c>
      <c r="F6" s="6" t="s">
        <v>28</v>
      </c>
      <c r="G6" s="16" t="s">
        <v>33</v>
      </c>
    </row>
    <row r="7" customFormat="false" ht="23.25" hidden="false" customHeight="true" outlineLevel="0" collapsed="false">
      <c r="A7" s="15" t="s">
        <v>9</v>
      </c>
      <c r="B7" s="6" t="s">
        <v>34</v>
      </c>
      <c r="C7" s="16" t="s">
        <v>35</v>
      </c>
      <c r="D7" s="16" t="s">
        <v>36</v>
      </c>
      <c r="E7" s="6" t="s">
        <v>4</v>
      </c>
      <c r="F7" s="6" t="s">
        <v>37</v>
      </c>
      <c r="G7" s="16" t="s">
        <v>38</v>
      </c>
    </row>
    <row r="8" customFormat="false" ht="23.25" hidden="false" customHeight="true" outlineLevel="0" collapsed="false">
      <c r="A8" s="15" t="s">
        <v>9</v>
      </c>
      <c r="B8" s="6" t="s">
        <v>39</v>
      </c>
      <c r="C8" s="16" t="s">
        <v>40</v>
      </c>
      <c r="D8" s="16" t="s">
        <v>41</v>
      </c>
      <c r="E8" s="6" t="s">
        <v>4</v>
      </c>
      <c r="F8" s="6" t="s">
        <v>28</v>
      </c>
      <c r="G8" s="16" t="s">
        <v>42</v>
      </c>
    </row>
    <row r="9" customFormat="false" ht="15" hidden="false" customHeight="true" outlineLevel="0" collapsed="false">
      <c r="A9" s="15" t="s">
        <v>9</v>
      </c>
      <c r="B9" s="6" t="s">
        <v>43</v>
      </c>
      <c r="C9" s="16" t="s">
        <v>44</v>
      </c>
      <c r="D9" s="16" t="s">
        <v>45</v>
      </c>
      <c r="E9" s="6" t="s">
        <v>4</v>
      </c>
      <c r="F9" s="6" t="s">
        <v>28</v>
      </c>
      <c r="G9" s="16" t="s">
        <v>46</v>
      </c>
    </row>
    <row r="10" customFormat="false" ht="23.25" hidden="false" customHeight="true" outlineLevel="0" collapsed="false">
      <c r="A10" s="15" t="s">
        <v>9</v>
      </c>
      <c r="B10" s="6" t="s">
        <v>47</v>
      </c>
      <c r="C10" s="16" t="s">
        <v>48</v>
      </c>
      <c r="D10" s="16" t="s">
        <v>49</v>
      </c>
      <c r="E10" s="6" t="s">
        <v>4</v>
      </c>
      <c r="F10" s="6" t="s">
        <v>50</v>
      </c>
      <c r="G10" s="16" t="s">
        <v>51</v>
      </c>
    </row>
    <row r="11" customFormat="false" ht="23.25" hidden="false" customHeight="true" outlineLevel="0" collapsed="false">
      <c r="A11" s="15" t="s">
        <v>9</v>
      </c>
      <c r="B11" s="6" t="s">
        <v>52</v>
      </c>
      <c r="C11" s="16" t="s">
        <v>53</v>
      </c>
      <c r="D11" s="16" t="s">
        <v>54</v>
      </c>
      <c r="E11" s="6" t="s">
        <v>5</v>
      </c>
      <c r="F11" s="6" t="s">
        <v>37</v>
      </c>
      <c r="G11" s="16" t="s">
        <v>55</v>
      </c>
    </row>
    <row r="12" customFormat="false" ht="15" hidden="false" customHeight="true" outlineLevel="0" collapsed="false">
      <c r="A12" s="15" t="s">
        <v>9</v>
      </c>
      <c r="B12" s="6" t="s">
        <v>56</v>
      </c>
      <c r="C12" s="16" t="s">
        <v>57</v>
      </c>
      <c r="D12" s="16" t="s">
        <v>58</v>
      </c>
      <c r="E12" s="6" t="s">
        <v>4</v>
      </c>
      <c r="F12" s="6" t="s">
        <v>28</v>
      </c>
      <c r="G12" s="16" t="s">
        <v>59</v>
      </c>
    </row>
    <row r="13" customFormat="false" ht="23.25" hidden="false" customHeight="true" outlineLevel="0" collapsed="false">
      <c r="A13" s="9" t="s">
        <v>10</v>
      </c>
      <c r="B13" s="13" t="s">
        <v>60</v>
      </c>
      <c r="C13" s="14" t="s">
        <v>61</v>
      </c>
      <c r="D13" s="14" t="s">
        <v>62</v>
      </c>
      <c r="E13" s="13" t="s">
        <v>4</v>
      </c>
      <c r="F13" s="13"/>
      <c r="G13" s="14" t="s">
        <v>63</v>
      </c>
    </row>
    <row r="14" customFormat="false" ht="15" hidden="false" customHeight="true" outlineLevel="0" collapsed="false">
      <c r="A14" s="15" t="s">
        <v>10</v>
      </c>
      <c r="B14" s="6" t="s">
        <v>64</v>
      </c>
      <c r="C14" s="16" t="s">
        <v>65</v>
      </c>
      <c r="D14" s="16" t="s">
        <v>66</v>
      </c>
      <c r="E14" s="6" t="s">
        <v>4</v>
      </c>
      <c r="F14" s="6"/>
      <c r="G14" s="16" t="s">
        <v>67</v>
      </c>
    </row>
    <row r="15" customFormat="false" ht="23.25" hidden="false" customHeight="true" outlineLevel="0" collapsed="false">
      <c r="A15" s="15" t="s">
        <v>10</v>
      </c>
      <c r="B15" s="6" t="s">
        <v>68</v>
      </c>
      <c r="C15" s="16" t="s">
        <v>69</v>
      </c>
      <c r="D15" s="16" t="s">
        <v>70</v>
      </c>
      <c r="E15" s="6" t="s">
        <v>4</v>
      </c>
      <c r="F15" s="6"/>
      <c r="G15" s="16" t="s">
        <v>71</v>
      </c>
    </row>
    <row r="16" customFormat="false" ht="23.25" hidden="false" customHeight="true" outlineLevel="0" collapsed="false">
      <c r="A16" s="15" t="s">
        <v>10</v>
      </c>
      <c r="B16" s="6" t="s">
        <v>72</v>
      </c>
      <c r="C16" s="16" t="s">
        <v>73</v>
      </c>
      <c r="D16" s="16" t="s">
        <v>74</v>
      </c>
      <c r="E16" s="6" t="s">
        <v>4</v>
      </c>
      <c r="F16" s="6"/>
      <c r="G16" s="16" t="s">
        <v>75</v>
      </c>
    </row>
    <row r="17" customFormat="false" ht="23.25" hidden="false" customHeight="true" outlineLevel="0" collapsed="false">
      <c r="A17" s="15" t="s">
        <v>10</v>
      </c>
      <c r="B17" s="6" t="s">
        <v>76</v>
      </c>
      <c r="C17" s="16" t="s">
        <v>77</v>
      </c>
      <c r="D17" s="16" t="s">
        <v>78</v>
      </c>
      <c r="E17" s="6" t="s">
        <v>4</v>
      </c>
      <c r="F17" s="6"/>
      <c r="G17" s="16" t="s">
        <v>79</v>
      </c>
    </row>
    <row r="18" customFormat="false" ht="15" hidden="false" customHeight="true" outlineLevel="0" collapsed="false">
      <c r="A18" s="15" t="s">
        <v>10</v>
      </c>
      <c r="B18" s="6" t="s">
        <v>80</v>
      </c>
      <c r="C18" s="16" t="s">
        <v>81</v>
      </c>
      <c r="D18" s="16" t="s">
        <v>82</v>
      </c>
      <c r="E18" s="6" t="s">
        <v>4</v>
      </c>
      <c r="F18" s="6"/>
      <c r="G18" s="16" t="s">
        <v>83</v>
      </c>
    </row>
    <row r="19" customFormat="false" ht="15" hidden="false" customHeight="true" outlineLevel="0" collapsed="false">
      <c r="A19" s="15" t="s">
        <v>10</v>
      </c>
      <c r="B19" s="6" t="s">
        <v>84</v>
      </c>
      <c r="C19" s="16" t="s">
        <v>85</v>
      </c>
      <c r="D19" s="16" t="s">
        <v>86</v>
      </c>
      <c r="E19" s="6" t="s">
        <v>5</v>
      </c>
      <c r="F19" s="6"/>
      <c r="G19" s="16" t="s">
        <v>87</v>
      </c>
    </row>
    <row r="20" customFormat="false" ht="15" hidden="false" customHeight="true" outlineLevel="0" collapsed="false">
      <c r="A20" s="9" t="s">
        <v>11</v>
      </c>
      <c r="B20" s="13" t="s">
        <v>88</v>
      </c>
      <c r="C20" s="14" t="s">
        <v>89</v>
      </c>
      <c r="D20" s="14" t="s">
        <v>90</v>
      </c>
      <c r="E20" s="13" t="s">
        <v>6</v>
      </c>
      <c r="F20" s="13"/>
      <c r="G20" s="14" t="s">
        <v>91</v>
      </c>
    </row>
    <row r="21" customFormat="false" ht="15" hidden="false" customHeight="true" outlineLevel="0" collapsed="false">
      <c r="A21" s="15" t="s">
        <v>11</v>
      </c>
      <c r="B21" s="6" t="s">
        <v>92</v>
      </c>
      <c r="C21" s="16" t="s">
        <v>93</v>
      </c>
      <c r="D21" s="16" t="s">
        <v>94</v>
      </c>
      <c r="E21" s="6" t="s">
        <v>6</v>
      </c>
      <c r="F21" s="6"/>
      <c r="G21" s="16" t="s">
        <v>95</v>
      </c>
    </row>
    <row r="22" customFormat="false" ht="23.25" hidden="false" customHeight="true" outlineLevel="0" collapsed="false">
      <c r="A22" s="15" t="s">
        <v>11</v>
      </c>
      <c r="B22" s="6" t="s">
        <v>96</v>
      </c>
      <c r="C22" s="16" t="s">
        <v>97</v>
      </c>
      <c r="D22" s="16" t="s">
        <v>98</v>
      </c>
      <c r="E22" s="6" t="s">
        <v>6</v>
      </c>
      <c r="F22" s="6"/>
      <c r="G22" s="16" t="s">
        <v>99</v>
      </c>
    </row>
    <row r="23" customFormat="false" ht="23.25" hidden="false" customHeight="true" outlineLevel="0" collapsed="false">
      <c r="A23" s="15" t="s">
        <v>11</v>
      </c>
      <c r="B23" s="6" t="s">
        <v>100</v>
      </c>
      <c r="C23" s="16" t="s">
        <v>101</v>
      </c>
      <c r="D23" s="16" t="s">
        <v>102</v>
      </c>
      <c r="E23" s="6" t="s">
        <v>6</v>
      </c>
      <c r="F23" s="6"/>
      <c r="G23" s="16" t="s">
        <v>103</v>
      </c>
    </row>
    <row r="24" customFormat="false" ht="15" hidden="false" customHeight="true" outlineLevel="0" collapsed="false">
      <c r="A24" s="15" t="s">
        <v>11</v>
      </c>
      <c r="B24" s="6" t="s">
        <v>104</v>
      </c>
      <c r="C24" s="16" t="s">
        <v>105</v>
      </c>
      <c r="D24" s="16" t="s">
        <v>106</v>
      </c>
      <c r="E24" s="6" t="s">
        <v>5</v>
      </c>
      <c r="F24" s="6"/>
      <c r="G24" s="16" t="s">
        <v>107</v>
      </c>
    </row>
    <row r="25" customFormat="false" ht="15" hidden="false" customHeight="true" outlineLevel="0" collapsed="false">
      <c r="A25" s="15" t="s">
        <v>11</v>
      </c>
      <c r="B25" s="6" t="s">
        <v>108</v>
      </c>
      <c r="C25" s="16" t="s">
        <v>109</v>
      </c>
      <c r="D25" s="16" t="s">
        <v>110</v>
      </c>
      <c r="E25" s="6" t="s">
        <v>6</v>
      </c>
      <c r="F25" s="6"/>
      <c r="G25" s="16" t="s">
        <v>111</v>
      </c>
    </row>
    <row r="26" customFormat="false" ht="15" hidden="false" customHeight="true" outlineLevel="0" collapsed="false">
      <c r="A26" s="15" t="s">
        <v>11</v>
      </c>
      <c r="B26" s="6" t="s">
        <v>112</v>
      </c>
      <c r="C26" s="16" t="s">
        <v>113</v>
      </c>
      <c r="D26" s="16" t="s">
        <v>114</v>
      </c>
      <c r="E26" s="6" t="s">
        <v>6</v>
      </c>
      <c r="F26" s="6"/>
      <c r="G26" s="16" t="s">
        <v>115</v>
      </c>
    </row>
    <row r="27" customFormat="false" ht="23.25" hidden="false" customHeight="true" outlineLevel="0" collapsed="false">
      <c r="A27" s="15" t="s">
        <v>11</v>
      </c>
      <c r="B27" s="6" t="s">
        <v>116</v>
      </c>
      <c r="C27" s="16" t="s">
        <v>117</v>
      </c>
      <c r="D27" s="16" t="s">
        <v>118</v>
      </c>
      <c r="E27" s="6" t="s">
        <v>6</v>
      </c>
      <c r="F27" s="6"/>
      <c r="G27" s="16" t="s">
        <v>119</v>
      </c>
    </row>
    <row r="28" customFormat="false" ht="23.25" hidden="false" customHeight="true" outlineLevel="0" collapsed="false">
      <c r="A28" s="9" t="s">
        <v>12</v>
      </c>
      <c r="B28" s="13" t="s">
        <v>120</v>
      </c>
      <c r="C28" s="14" t="s">
        <v>121</v>
      </c>
      <c r="D28" s="14" t="s">
        <v>122</v>
      </c>
      <c r="E28" s="13" t="s">
        <v>6</v>
      </c>
      <c r="F28" s="13"/>
      <c r="G28" s="14" t="s">
        <v>123</v>
      </c>
    </row>
    <row r="29" customFormat="false" ht="15" hidden="false" customHeight="true" outlineLevel="0" collapsed="false">
      <c r="A29" s="15" t="s">
        <v>12</v>
      </c>
      <c r="B29" s="6" t="s">
        <v>124</v>
      </c>
      <c r="C29" s="16" t="s">
        <v>125</v>
      </c>
      <c r="D29" s="16" t="s">
        <v>126</v>
      </c>
      <c r="E29" s="6" t="s">
        <v>6</v>
      </c>
      <c r="F29" s="6"/>
      <c r="G29" s="16"/>
    </row>
    <row r="30" customFormat="false" ht="15" hidden="false" customHeight="true" outlineLevel="0" collapsed="false">
      <c r="A30" s="15" t="s">
        <v>12</v>
      </c>
      <c r="B30" s="6" t="s">
        <v>127</v>
      </c>
      <c r="C30" s="16" t="s">
        <v>128</v>
      </c>
      <c r="D30" s="16" t="s">
        <v>129</v>
      </c>
      <c r="E30" s="6" t="s">
        <v>6</v>
      </c>
      <c r="F30" s="6"/>
      <c r="G30" s="16" t="s">
        <v>130</v>
      </c>
    </row>
    <row r="31" customFormat="false" ht="23.25" hidden="false" customHeight="true" outlineLevel="0" collapsed="false">
      <c r="A31" s="15" t="s">
        <v>12</v>
      </c>
      <c r="B31" s="6" t="s">
        <v>131</v>
      </c>
      <c r="C31" s="16" t="s">
        <v>132</v>
      </c>
      <c r="D31" s="16" t="s">
        <v>133</v>
      </c>
      <c r="E31" s="6" t="s">
        <v>6</v>
      </c>
      <c r="F31" s="6"/>
      <c r="G31" s="16" t="s">
        <v>134</v>
      </c>
    </row>
    <row r="32" customFormat="false" ht="15" hidden="false" customHeight="true" outlineLevel="0" collapsed="false">
      <c r="A32" s="15" t="s">
        <v>12</v>
      </c>
      <c r="B32" s="6" t="s">
        <v>135</v>
      </c>
      <c r="C32" s="16" t="s">
        <v>136</v>
      </c>
      <c r="D32" s="16" t="s">
        <v>137</v>
      </c>
      <c r="E32" s="6" t="s">
        <v>5</v>
      </c>
      <c r="F32" s="6"/>
      <c r="G32" s="16" t="s">
        <v>138</v>
      </c>
    </row>
    <row r="33" customFormat="false" ht="15" hidden="false" customHeight="true" outlineLevel="0" collapsed="false">
      <c r="A33" s="15" t="s">
        <v>12</v>
      </c>
      <c r="B33" s="6" t="s">
        <v>139</v>
      </c>
      <c r="C33" s="16" t="s">
        <v>140</v>
      </c>
      <c r="D33" s="16" t="s">
        <v>141</v>
      </c>
      <c r="E33" s="6" t="s">
        <v>5</v>
      </c>
      <c r="F33" s="6"/>
      <c r="G33" s="16" t="s">
        <v>142</v>
      </c>
    </row>
    <row r="34" customFormat="false" ht="23.25" hidden="false" customHeight="true" outlineLevel="0" collapsed="false">
      <c r="A34" s="15" t="s">
        <v>12</v>
      </c>
      <c r="B34" s="6" t="s">
        <v>143</v>
      </c>
      <c r="C34" s="16" t="s">
        <v>144</v>
      </c>
      <c r="D34" s="16" t="s">
        <v>145</v>
      </c>
      <c r="E34" s="6" t="s">
        <v>5</v>
      </c>
      <c r="F34" s="6"/>
      <c r="G34" s="16" t="s">
        <v>146</v>
      </c>
    </row>
    <row r="35" customFormat="false" ht="15" hidden="false" customHeight="true" outlineLevel="0" collapsed="false">
      <c r="A35" s="15" t="s">
        <v>12</v>
      </c>
      <c r="B35" s="6" t="s">
        <v>147</v>
      </c>
      <c r="C35" s="16" t="s">
        <v>148</v>
      </c>
      <c r="D35" s="16" t="s">
        <v>149</v>
      </c>
      <c r="E35" s="6" t="s">
        <v>5</v>
      </c>
      <c r="F35" s="6"/>
      <c r="G35" s="16" t="s">
        <v>150</v>
      </c>
    </row>
    <row r="36" customFormat="false" ht="15" hidden="false" customHeight="true" outlineLevel="0" collapsed="false">
      <c r="A36" s="15" t="s">
        <v>12</v>
      </c>
      <c r="B36" s="6" t="s">
        <v>151</v>
      </c>
      <c r="C36" s="16" t="s">
        <v>152</v>
      </c>
      <c r="D36" s="16" t="s">
        <v>153</v>
      </c>
      <c r="E36" s="6" t="s">
        <v>5</v>
      </c>
      <c r="F36" s="6"/>
      <c r="G36" s="16" t="s">
        <v>154</v>
      </c>
    </row>
    <row r="37" customFormat="false" ht="23.25" hidden="false" customHeight="true" outlineLevel="0" collapsed="false">
      <c r="A37" s="15" t="s">
        <v>12</v>
      </c>
      <c r="B37" s="6" t="s">
        <v>155</v>
      </c>
      <c r="C37" s="16" t="s">
        <v>156</v>
      </c>
      <c r="D37" s="16" t="s">
        <v>157</v>
      </c>
      <c r="E37" s="6" t="s">
        <v>6</v>
      </c>
      <c r="F37" s="6"/>
      <c r="G37" s="16" t="s">
        <v>158</v>
      </c>
    </row>
    <row r="38" customFormat="false" ht="15" hidden="false" customHeight="true" outlineLevel="0" collapsed="false">
      <c r="A38" s="9" t="s">
        <v>13</v>
      </c>
      <c r="B38" s="13" t="s">
        <v>159</v>
      </c>
      <c r="C38" s="14" t="s">
        <v>160</v>
      </c>
      <c r="D38" s="14" t="s">
        <v>161</v>
      </c>
      <c r="E38" s="13" t="s">
        <v>6</v>
      </c>
      <c r="F38" s="13"/>
      <c r="G38" s="14" t="s">
        <v>162</v>
      </c>
    </row>
    <row r="39" customFormat="false" ht="23.25" hidden="false" customHeight="true" outlineLevel="0" collapsed="false">
      <c r="A39" s="15" t="s">
        <v>13</v>
      </c>
      <c r="B39" s="6" t="s">
        <v>163</v>
      </c>
      <c r="C39" s="16" t="s">
        <v>164</v>
      </c>
      <c r="D39" s="16" t="s">
        <v>165</v>
      </c>
      <c r="E39" s="6" t="s">
        <v>6</v>
      </c>
      <c r="F39" s="6"/>
      <c r="G39" s="16"/>
    </row>
    <row r="40" customFormat="false" ht="23.25" hidden="false" customHeight="true" outlineLevel="0" collapsed="false">
      <c r="A40" s="15" t="s">
        <v>13</v>
      </c>
      <c r="B40" s="6" t="s">
        <v>166</v>
      </c>
      <c r="C40" s="16" t="s">
        <v>167</v>
      </c>
      <c r="D40" s="16" t="s">
        <v>168</v>
      </c>
      <c r="E40" s="6" t="s">
        <v>6</v>
      </c>
      <c r="F40" s="6"/>
      <c r="G40" s="16" t="s">
        <v>169</v>
      </c>
    </row>
    <row r="41" customFormat="false" ht="23.25" hidden="false" customHeight="true" outlineLevel="0" collapsed="false">
      <c r="A41" s="15" t="s">
        <v>13</v>
      </c>
      <c r="B41" s="6" t="s">
        <v>170</v>
      </c>
      <c r="C41" s="16" t="s">
        <v>171</v>
      </c>
      <c r="D41" s="16" t="s">
        <v>172</v>
      </c>
      <c r="E41" s="6" t="s">
        <v>6</v>
      </c>
      <c r="F41" s="6"/>
      <c r="G41" s="16" t="s">
        <v>173</v>
      </c>
    </row>
    <row r="42" customFormat="false" ht="15" hidden="false" customHeight="true" outlineLevel="0" collapsed="false">
      <c r="A42" s="15" t="s">
        <v>13</v>
      </c>
      <c r="B42" s="6" t="s">
        <v>174</v>
      </c>
      <c r="C42" s="16" t="s">
        <v>175</v>
      </c>
      <c r="D42" s="16" t="s">
        <v>176</v>
      </c>
      <c r="E42" s="6" t="s">
        <v>6</v>
      </c>
      <c r="F42" s="6"/>
      <c r="G42" s="16"/>
    </row>
    <row r="43" customFormat="false" ht="15" hidden="false" customHeight="true" outlineLevel="0" collapsed="false">
      <c r="A43" s="15" t="s">
        <v>13</v>
      </c>
      <c r="B43" s="6" t="s">
        <v>177</v>
      </c>
      <c r="C43" s="16" t="s">
        <v>178</v>
      </c>
      <c r="D43" s="16" t="s">
        <v>179</v>
      </c>
      <c r="E43" s="6" t="s">
        <v>6</v>
      </c>
      <c r="F43" s="6"/>
      <c r="G43" s="16"/>
    </row>
    <row r="44" customFormat="false" ht="15" hidden="false" customHeight="true" outlineLevel="0" collapsed="false">
      <c r="A44" s="15" t="s">
        <v>13</v>
      </c>
      <c r="B44" s="6" t="s">
        <v>180</v>
      </c>
      <c r="C44" s="16" t="s">
        <v>181</v>
      </c>
      <c r="D44" s="16" t="s">
        <v>182</v>
      </c>
      <c r="E44" s="6" t="s">
        <v>6</v>
      </c>
      <c r="F44" s="6"/>
      <c r="G44" s="16"/>
    </row>
    <row r="45" customFormat="false" ht="23.25" hidden="false" customHeight="true" outlineLevel="0" collapsed="false">
      <c r="A45" s="17" t="s">
        <v>9</v>
      </c>
      <c r="B45" s="18" t="s">
        <v>183</v>
      </c>
      <c r="C45" s="14" t="s">
        <v>184</v>
      </c>
      <c r="D45" s="14" t="s">
        <v>185</v>
      </c>
      <c r="E45" s="18" t="s">
        <v>5</v>
      </c>
      <c r="F45" s="18" t="s">
        <v>28</v>
      </c>
      <c r="G45" s="14" t="s">
        <v>186</v>
      </c>
    </row>
    <row r="46" customFormat="false" ht="23.25" hidden="false" customHeight="true" outlineLevel="0" collapsed="false">
      <c r="A46" s="17" t="s">
        <v>10</v>
      </c>
      <c r="B46" s="18" t="s">
        <v>187</v>
      </c>
      <c r="C46" s="14" t="s">
        <v>188</v>
      </c>
      <c r="D46" s="14" t="s">
        <v>189</v>
      </c>
      <c r="E46" s="18" t="s">
        <v>4</v>
      </c>
      <c r="F46" s="18" t="s">
        <v>37</v>
      </c>
      <c r="G46" s="14" t="s">
        <v>190</v>
      </c>
    </row>
    <row r="47" customFormat="false" ht="23.25" hidden="false" customHeight="true" outlineLevel="0" collapsed="false">
      <c r="A47" s="17" t="s">
        <v>10</v>
      </c>
      <c r="B47" s="18" t="s">
        <v>191</v>
      </c>
      <c r="C47" s="14" t="s">
        <v>192</v>
      </c>
      <c r="D47" s="14" t="s">
        <v>193</v>
      </c>
      <c r="E47" s="18" t="s">
        <v>4</v>
      </c>
      <c r="F47" s="18" t="s">
        <v>37</v>
      </c>
      <c r="G47" s="14" t="s">
        <v>194</v>
      </c>
    </row>
    <row r="48" customFormat="false" ht="23.25" hidden="false" customHeight="true" outlineLevel="0" collapsed="false">
      <c r="A48" s="17" t="s">
        <v>10</v>
      </c>
      <c r="B48" s="18" t="s">
        <v>195</v>
      </c>
      <c r="C48" s="14" t="s">
        <v>196</v>
      </c>
      <c r="D48" s="14" t="s">
        <v>197</v>
      </c>
      <c r="E48" s="18" t="s">
        <v>4</v>
      </c>
      <c r="F48" s="18" t="s">
        <v>37</v>
      </c>
      <c r="G48" s="14" t="s">
        <v>198</v>
      </c>
    </row>
    <row r="49" customFormat="false" ht="15" hidden="false" customHeight="true" outlineLevel="0" collapsed="false">
      <c r="A49" s="17" t="s">
        <v>10</v>
      </c>
      <c r="B49" s="18" t="s">
        <v>199</v>
      </c>
      <c r="C49" s="14" t="s">
        <v>200</v>
      </c>
      <c r="D49" s="14" t="s">
        <v>201</v>
      </c>
      <c r="E49" s="18" t="s">
        <v>6</v>
      </c>
      <c r="F49" s="18" t="s">
        <v>28</v>
      </c>
      <c r="G49" s="14" t="s">
        <v>202</v>
      </c>
    </row>
    <row r="50" customFormat="false" ht="23.25" hidden="false" customHeight="true" outlineLevel="0" collapsed="false">
      <c r="A50" s="17" t="s">
        <v>11</v>
      </c>
      <c r="B50" s="18" t="s">
        <v>203</v>
      </c>
      <c r="C50" s="14" t="s">
        <v>204</v>
      </c>
      <c r="D50" s="14" t="s">
        <v>205</v>
      </c>
      <c r="E50" s="18" t="s">
        <v>5</v>
      </c>
      <c r="F50" s="18" t="s">
        <v>37</v>
      </c>
      <c r="G50" s="14" t="s">
        <v>206</v>
      </c>
    </row>
    <row r="51" customFormat="false" ht="15" hidden="false" customHeight="true" outlineLevel="0" collapsed="false">
      <c r="A51" s="17" t="s">
        <v>12</v>
      </c>
      <c r="B51" s="18" t="s">
        <v>207</v>
      </c>
      <c r="C51" s="14" t="s">
        <v>208</v>
      </c>
      <c r="D51" s="14" t="s">
        <v>209</v>
      </c>
      <c r="E51" s="18" t="s">
        <v>5</v>
      </c>
      <c r="F51" s="18" t="s">
        <v>37</v>
      </c>
      <c r="G51" s="14" t="s">
        <v>210</v>
      </c>
    </row>
    <row r="52" customFormat="false" ht="15" hidden="false" customHeight="true" outlineLevel="0" collapsed="false">
      <c r="A52" s="17" t="s">
        <v>12</v>
      </c>
      <c r="B52" s="18" t="s">
        <v>211</v>
      </c>
      <c r="C52" s="14" t="s">
        <v>212</v>
      </c>
      <c r="D52" s="14" t="s">
        <v>213</v>
      </c>
      <c r="E52" s="18" t="s">
        <v>5</v>
      </c>
      <c r="F52" s="18" t="s">
        <v>37</v>
      </c>
      <c r="G52" s="14" t="s">
        <v>210</v>
      </c>
    </row>
    <row r="53" customFormat="false" ht="23.25" hidden="false" customHeight="true" outlineLevel="0" collapsed="false">
      <c r="A53" s="17" t="s">
        <v>13</v>
      </c>
      <c r="B53" s="18" t="s">
        <v>214</v>
      </c>
      <c r="C53" s="14" t="s">
        <v>215</v>
      </c>
      <c r="D53" s="14" t="s">
        <v>216</v>
      </c>
      <c r="E53" s="18" t="s">
        <v>6</v>
      </c>
      <c r="F53" s="18" t="s">
        <v>28</v>
      </c>
      <c r="G53" s="14" t="s">
        <v>217</v>
      </c>
    </row>
    <row r="54" customFormat="false" ht="23.25" hidden="false" customHeight="true" outlineLevel="0" collapsed="false">
      <c r="A54" s="17" t="s">
        <v>13</v>
      </c>
      <c r="B54" s="18" t="s">
        <v>218</v>
      </c>
      <c r="C54" s="14" t="s">
        <v>219</v>
      </c>
      <c r="D54" s="14" t="s">
        <v>220</v>
      </c>
      <c r="E54" s="18" t="s">
        <v>6</v>
      </c>
      <c r="F54" s="18" t="s">
        <v>28</v>
      </c>
      <c r="G54" s="14" t="s">
        <v>221</v>
      </c>
    </row>
    <row r="55" customFormat="false" ht="23.25" hidden="false" customHeight="true" outlineLevel="0" collapsed="false">
      <c r="A55" s="17" t="s">
        <v>13</v>
      </c>
      <c r="B55" s="18" t="s">
        <v>222</v>
      </c>
      <c r="C55" s="14" t="s">
        <v>223</v>
      </c>
      <c r="D55" s="14" t="s">
        <v>224</v>
      </c>
      <c r="E55" s="18" t="s">
        <v>6</v>
      </c>
      <c r="F55" s="18" t="s">
        <v>28</v>
      </c>
      <c r="G55" s="14" t="s">
        <v>225</v>
      </c>
    </row>
    <row r="56" customFormat="false" ht="23.25" hidden="false" customHeight="true" outlineLevel="0" collapsed="false">
      <c r="A56" s="17" t="s">
        <v>13</v>
      </c>
      <c r="B56" s="18" t="s">
        <v>226</v>
      </c>
      <c r="C56" s="14" t="s">
        <v>227</v>
      </c>
      <c r="D56" s="14" t="s">
        <v>228</v>
      </c>
      <c r="E56" s="18" t="s">
        <v>6</v>
      </c>
      <c r="F56" s="18" t="s">
        <v>28</v>
      </c>
      <c r="G56" s="14" t="s">
        <v>229</v>
      </c>
    </row>
    <row r="57" customFormat="false" ht="23.25" hidden="false" customHeight="true" outlineLevel="0" collapsed="false">
      <c r="A57" s="17" t="s">
        <v>9</v>
      </c>
      <c r="B57" s="18" t="s">
        <v>230</v>
      </c>
      <c r="C57" s="14" t="s">
        <v>231</v>
      </c>
      <c r="D57" s="14" t="s">
        <v>232</v>
      </c>
      <c r="E57" s="18" t="s">
        <v>4</v>
      </c>
      <c r="F57" s="18" t="s">
        <v>37</v>
      </c>
      <c r="G57" s="14" t="s">
        <v>233</v>
      </c>
    </row>
    <row r="58" customFormat="false" ht="23.25" hidden="false" customHeight="true" outlineLevel="0" collapsed="false">
      <c r="A58" s="17" t="s">
        <v>10</v>
      </c>
      <c r="B58" s="18" t="s">
        <v>234</v>
      </c>
      <c r="C58" s="14" t="s">
        <v>235</v>
      </c>
      <c r="D58" s="14" t="s">
        <v>236</v>
      </c>
      <c r="E58" s="18" t="s">
        <v>4</v>
      </c>
      <c r="F58" s="18" t="s">
        <v>37</v>
      </c>
      <c r="G58" s="14" t="s">
        <v>237</v>
      </c>
    </row>
    <row r="59" customFormat="false" ht="34.5" hidden="false" customHeight="true" outlineLevel="0" collapsed="false">
      <c r="A59" s="17" t="s">
        <v>10</v>
      </c>
      <c r="B59" s="18" t="s">
        <v>238</v>
      </c>
      <c r="C59" s="14" t="s">
        <v>239</v>
      </c>
      <c r="D59" s="14" t="s">
        <v>240</v>
      </c>
      <c r="E59" s="18" t="s">
        <v>4</v>
      </c>
      <c r="F59" s="18" t="s">
        <v>37</v>
      </c>
      <c r="G59" s="14" t="s">
        <v>241</v>
      </c>
    </row>
    <row r="60" customFormat="false" ht="23.25" hidden="false" customHeight="true" outlineLevel="0" collapsed="false">
      <c r="A60" s="17" t="s">
        <v>10</v>
      </c>
      <c r="B60" s="18" t="s">
        <v>242</v>
      </c>
      <c r="C60" s="14" t="s">
        <v>243</v>
      </c>
      <c r="D60" s="14" t="s">
        <v>244</v>
      </c>
      <c r="E60" s="18" t="s">
        <v>4</v>
      </c>
      <c r="F60" s="18" t="s">
        <v>37</v>
      </c>
      <c r="G60" s="14" t="s">
        <v>245</v>
      </c>
    </row>
    <row r="61" customFormat="false" ht="23.25" hidden="false" customHeight="true" outlineLevel="0" collapsed="false">
      <c r="A61" s="17" t="s">
        <v>11</v>
      </c>
      <c r="B61" s="18" t="s">
        <v>246</v>
      </c>
      <c r="C61" s="14" t="s">
        <v>247</v>
      </c>
      <c r="D61" s="14" t="s">
        <v>248</v>
      </c>
      <c r="E61" s="18" t="s">
        <v>4</v>
      </c>
      <c r="F61" s="18" t="s">
        <v>37</v>
      </c>
      <c r="G61" s="14" t="s">
        <v>249</v>
      </c>
    </row>
    <row r="62" customFormat="false" ht="34.5" hidden="false" customHeight="true" outlineLevel="0" collapsed="false">
      <c r="A62" s="17" t="s">
        <v>9</v>
      </c>
      <c r="B62" s="18" t="s">
        <v>250</v>
      </c>
      <c r="C62" s="14" t="s">
        <v>251</v>
      </c>
      <c r="D62" s="14" t="s">
        <v>252</v>
      </c>
      <c r="E62" s="18" t="s">
        <v>4</v>
      </c>
      <c r="F62" s="18" t="s">
        <v>37</v>
      </c>
      <c r="G62" s="14" t="s">
        <v>253</v>
      </c>
    </row>
    <row r="63" customFormat="false" ht="23.25" hidden="false" customHeight="true" outlineLevel="0" collapsed="false">
      <c r="A63" s="17" t="s">
        <v>9</v>
      </c>
      <c r="B63" s="18" t="s">
        <v>254</v>
      </c>
      <c r="C63" s="14" t="s">
        <v>255</v>
      </c>
      <c r="D63" s="14" t="s">
        <v>256</v>
      </c>
      <c r="E63" s="18" t="s">
        <v>4</v>
      </c>
      <c r="F63" s="18" t="s">
        <v>37</v>
      </c>
      <c r="G63" s="14" t="s">
        <v>257</v>
      </c>
    </row>
    <row r="64" customFormat="false" ht="23.25" hidden="false" customHeight="true" outlineLevel="0" collapsed="false">
      <c r="A64" s="17" t="s">
        <v>9</v>
      </c>
      <c r="B64" s="18" t="s">
        <v>258</v>
      </c>
      <c r="C64" s="14" t="s">
        <v>259</v>
      </c>
      <c r="D64" s="14" t="s">
        <v>260</v>
      </c>
      <c r="E64" s="18" t="s">
        <v>6</v>
      </c>
      <c r="F64" s="18" t="s">
        <v>28</v>
      </c>
      <c r="G64" s="14" t="s">
        <v>261</v>
      </c>
    </row>
    <row r="65" customFormat="false" ht="34.5" hidden="false" customHeight="true" outlineLevel="0" collapsed="false">
      <c r="A65" s="17" t="s">
        <v>11</v>
      </c>
      <c r="B65" s="18" t="s">
        <v>262</v>
      </c>
      <c r="C65" s="14" t="s">
        <v>263</v>
      </c>
      <c r="D65" s="14" t="s">
        <v>264</v>
      </c>
      <c r="E65" s="18" t="s">
        <v>4</v>
      </c>
      <c r="F65" s="18" t="s">
        <v>37</v>
      </c>
      <c r="G65" s="14" t="s">
        <v>265</v>
      </c>
    </row>
    <row r="66" customFormat="false" ht="34.5" hidden="false" customHeight="true" outlineLevel="0" collapsed="false">
      <c r="A66" s="17" t="s">
        <v>11</v>
      </c>
      <c r="B66" s="18" t="s">
        <v>266</v>
      </c>
      <c r="C66" s="14" t="s">
        <v>267</v>
      </c>
      <c r="D66" s="14" t="s">
        <v>268</v>
      </c>
      <c r="E66" s="18" t="s">
        <v>4</v>
      </c>
      <c r="F66" s="18" t="s">
        <v>37</v>
      </c>
      <c r="G66" s="14" t="s">
        <v>269</v>
      </c>
    </row>
    <row r="67" customFormat="false" ht="23.25" hidden="false" customHeight="true" outlineLevel="0" collapsed="false">
      <c r="A67" s="17" t="s">
        <v>11</v>
      </c>
      <c r="B67" s="18" t="s">
        <v>270</v>
      </c>
      <c r="C67" s="14" t="s">
        <v>271</v>
      </c>
      <c r="D67" s="14" t="s">
        <v>272</v>
      </c>
      <c r="E67" s="18" t="s">
        <v>5</v>
      </c>
      <c r="F67" s="18" t="s">
        <v>37</v>
      </c>
      <c r="G67" s="14" t="s">
        <v>273</v>
      </c>
    </row>
    <row r="68" customFormat="false" ht="23.25" hidden="false" customHeight="true" outlineLevel="0" collapsed="false">
      <c r="A68" s="17" t="s">
        <v>11</v>
      </c>
      <c r="B68" s="18" t="s">
        <v>274</v>
      </c>
      <c r="C68" s="14" t="s">
        <v>275</v>
      </c>
      <c r="D68" s="14" t="s">
        <v>276</v>
      </c>
      <c r="E68" s="18" t="s">
        <v>4</v>
      </c>
      <c r="F68" s="18" t="s">
        <v>28</v>
      </c>
      <c r="G68" s="14" t="s">
        <v>277</v>
      </c>
    </row>
    <row r="69" customFormat="false" ht="23.25" hidden="false" customHeight="true" outlineLevel="0" collapsed="false">
      <c r="A69" s="17" t="s">
        <v>11</v>
      </c>
      <c r="B69" s="18" t="s">
        <v>278</v>
      </c>
      <c r="C69" s="14" t="s">
        <v>279</v>
      </c>
      <c r="D69" s="14" t="s">
        <v>280</v>
      </c>
      <c r="E69" s="18" t="s">
        <v>6</v>
      </c>
      <c r="F69" s="18" t="s">
        <v>28</v>
      </c>
      <c r="G69" s="14" t="s">
        <v>281</v>
      </c>
    </row>
    <row r="70" customFormat="false" ht="23.25" hidden="false" customHeight="true" outlineLevel="0" collapsed="false">
      <c r="A70" s="17" t="s">
        <v>11</v>
      </c>
      <c r="B70" s="18" t="s">
        <v>282</v>
      </c>
      <c r="C70" s="14" t="s">
        <v>283</v>
      </c>
      <c r="D70" s="14" t="s">
        <v>284</v>
      </c>
      <c r="E70" s="18" t="s">
        <v>6</v>
      </c>
      <c r="F70" s="18" t="s">
        <v>37</v>
      </c>
      <c r="G70" s="14" t="s">
        <v>285</v>
      </c>
    </row>
    <row r="71" customFormat="false" ht="23.25" hidden="false" customHeight="true" outlineLevel="0" collapsed="false">
      <c r="A71" s="17" t="s">
        <v>11</v>
      </c>
      <c r="B71" s="18" t="s">
        <v>286</v>
      </c>
      <c r="C71" s="14" t="s">
        <v>287</v>
      </c>
      <c r="D71" s="14" t="s">
        <v>288</v>
      </c>
      <c r="E71" s="18" t="s">
        <v>6</v>
      </c>
      <c r="F71" s="18" t="s">
        <v>37</v>
      </c>
      <c r="G71" s="14" t="s">
        <v>289</v>
      </c>
    </row>
    <row r="72" customFormat="false" ht="23.25" hidden="false" customHeight="true" outlineLevel="0" collapsed="false">
      <c r="A72" s="17" t="s">
        <v>11</v>
      </c>
      <c r="B72" s="18" t="s">
        <v>290</v>
      </c>
      <c r="C72" s="14" t="s">
        <v>291</v>
      </c>
      <c r="D72" s="14" t="s">
        <v>292</v>
      </c>
      <c r="E72" s="18" t="s">
        <v>6</v>
      </c>
      <c r="F72" s="18" t="s">
        <v>37</v>
      </c>
      <c r="G72" s="14" t="s">
        <v>293</v>
      </c>
    </row>
    <row r="73" customFormat="false" ht="23.25" hidden="false" customHeight="true" outlineLevel="0" collapsed="false">
      <c r="A73" s="17" t="s">
        <v>11</v>
      </c>
      <c r="B73" s="18" t="s">
        <v>294</v>
      </c>
      <c r="C73" s="14" t="s">
        <v>295</v>
      </c>
      <c r="D73" s="14" t="s">
        <v>296</v>
      </c>
      <c r="E73" s="18" t="s">
        <v>6</v>
      </c>
      <c r="F73" s="18" t="s">
        <v>37</v>
      </c>
      <c r="G73" s="14" t="s">
        <v>297</v>
      </c>
    </row>
    <row r="74" customFormat="false" ht="34.5" hidden="false" customHeight="true" outlineLevel="0" collapsed="false">
      <c r="A74" s="17" t="s">
        <v>11</v>
      </c>
      <c r="B74" s="18" t="s">
        <v>298</v>
      </c>
      <c r="C74" s="14" t="s">
        <v>299</v>
      </c>
      <c r="D74" s="14" t="s">
        <v>300</v>
      </c>
      <c r="E74" s="18" t="s">
        <v>6</v>
      </c>
      <c r="F74" s="18" t="s">
        <v>37</v>
      </c>
      <c r="G74" s="14" t="s">
        <v>301</v>
      </c>
    </row>
    <row r="75" customFormat="false" ht="23.25" hidden="false" customHeight="true" outlineLevel="0" collapsed="false">
      <c r="A75" s="17" t="s">
        <v>11</v>
      </c>
      <c r="B75" s="18" t="s">
        <v>302</v>
      </c>
      <c r="C75" s="14" t="s">
        <v>303</v>
      </c>
      <c r="D75" s="14" t="s">
        <v>304</v>
      </c>
      <c r="E75" s="18" t="s">
        <v>6</v>
      </c>
      <c r="F75" s="18" t="s">
        <v>37</v>
      </c>
      <c r="G75" s="14" t="s">
        <v>305</v>
      </c>
    </row>
    <row r="76" customFormat="false" ht="34.5" hidden="false" customHeight="true" outlineLevel="0" collapsed="false">
      <c r="A76" s="17" t="s">
        <v>9</v>
      </c>
      <c r="B76" s="18" t="s">
        <v>306</v>
      </c>
      <c r="C76" s="14" t="s">
        <v>307</v>
      </c>
      <c r="D76" s="14" t="s">
        <v>308</v>
      </c>
      <c r="E76" s="18" t="s">
        <v>4</v>
      </c>
      <c r="F76" s="18" t="s">
        <v>37</v>
      </c>
      <c r="G76" s="14" t="s">
        <v>309</v>
      </c>
    </row>
    <row r="77" customFormat="false" ht="57.45" hidden="false" customHeight="false" outlineLevel="0" collapsed="false">
      <c r="A77" s="17" t="s">
        <v>10</v>
      </c>
      <c r="B77" s="18" t="s">
        <v>310</v>
      </c>
      <c r="C77" s="14" t="s">
        <v>311</v>
      </c>
      <c r="D77" s="14" t="s">
        <v>312</v>
      </c>
      <c r="E77" s="18" t="s">
        <v>6</v>
      </c>
      <c r="F77" s="18" t="s">
        <v>28</v>
      </c>
      <c r="G77" s="14" t="s">
        <v>313</v>
      </c>
    </row>
    <row r="78" customFormat="false" ht="23.85" hidden="false" customHeight="false" outlineLevel="0" collapsed="false">
      <c r="A78" s="17" t="s">
        <v>11</v>
      </c>
      <c r="B78" s="18" t="s">
        <v>314</v>
      </c>
      <c r="C78" s="14" t="s">
        <v>315</v>
      </c>
      <c r="D78" s="14" t="s">
        <v>316</v>
      </c>
      <c r="E78" s="18" t="s">
        <v>6</v>
      </c>
      <c r="F78" s="18" t="s">
        <v>37</v>
      </c>
      <c r="G78" s="14" t="s">
        <v>317</v>
      </c>
    </row>
    <row r="79" customFormat="false" ht="23.85" hidden="false" customHeight="false" outlineLevel="0" collapsed="false">
      <c r="A79" s="17" t="s">
        <v>11</v>
      </c>
      <c r="B79" s="18" t="s">
        <v>318</v>
      </c>
      <c r="C79" s="14" t="s">
        <v>319</v>
      </c>
      <c r="D79" s="14" t="s">
        <v>320</v>
      </c>
      <c r="E79" s="18" t="s">
        <v>6</v>
      </c>
      <c r="F79" s="18" t="s">
        <v>37</v>
      </c>
      <c r="G79" s="14" t="s">
        <v>321</v>
      </c>
    </row>
    <row r="80" customFormat="false" ht="23.85" hidden="false" customHeight="false" outlineLevel="0" collapsed="false">
      <c r="A80" s="17" t="s">
        <v>11</v>
      </c>
      <c r="B80" s="18" t="s">
        <v>322</v>
      </c>
      <c r="C80" s="14" t="s">
        <v>323</v>
      </c>
      <c r="D80" s="14" t="s">
        <v>324</v>
      </c>
      <c r="E80" s="18" t="s">
        <v>6</v>
      </c>
      <c r="F80" s="18" t="s">
        <v>37</v>
      </c>
      <c r="G80" s="14" t="s">
        <v>325</v>
      </c>
    </row>
    <row r="81" customFormat="false" ht="23.85" hidden="false" customHeight="false" outlineLevel="0" collapsed="false">
      <c r="A81" s="17" t="s">
        <v>11</v>
      </c>
      <c r="B81" s="18" t="s">
        <v>326</v>
      </c>
      <c r="C81" s="14" t="s">
        <v>327</v>
      </c>
      <c r="D81" s="14" t="s">
        <v>328</v>
      </c>
      <c r="E81" s="18" t="s">
        <v>6</v>
      </c>
      <c r="F81" s="18" t="s">
        <v>37</v>
      </c>
      <c r="G81" s="14" t="s">
        <v>329</v>
      </c>
    </row>
    <row r="82" customFormat="false" ht="23.85" hidden="false" customHeight="false" outlineLevel="0" collapsed="false">
      <c r="A82" s="17" t="s">
        <v>12</v>
      </c>
      <c r="B82" s="18" t="s">
        <v>330</v>
      </c>
      <c r="C82" s="14" t="s">
        <v>331</v>
      </c>
      <c r="D82" s="14" t="s">
        <v>332</v>
      </c>
      <c r="E82" s="18" t="s">
        <v>6</v>
      </c>
      <c r="F82" s="18" t="s">
        <v>37</v>
      </c>
      <c r="G82" s="14" t="s">
        <v>333</v>
      </c>
    </row>
    <row r="83" customFormat="false" ht="35.05" hidden="false" customHeight="false" outlineLevel="0" collapsed="false">
      <c r="A83" s="17" t="s">
        <v>11</v>
      </c>
      <c r="B83" s="18" t="s">
        <v>334</v>
      </c>
      <c r="C83" s="14" t="s">
        <v>335</v>
      </c>
      <c r="D83" s="14" t="s">
        <v>336</v>
      </c>
      <c r="E83" s="18" t="s">
        <v>6</v>
      </c>
      <c r="F83" s="18" t="s">
        <v>37</v>
      </c>
      <c r="G83" s="14" t="s">
        <v>337</v>
      </c>
    </row>
    <row r="84" customFormat="false" ht="23.85" hidden="false" customHeight="false" outlineLevel="0" collapsed="false">
      <c r="A84" s="17" t="s">
        <v>9</v>
      </c>
      <c r="B84" s="18" t="s">
        <v>338</v>
      </c>
      <c r="C84" s="14" t="s">
        <v>339</v>
      </c>
      <c r="D84" s="14" t="s">
        <v>340</v>
      </c>
      <c r="E84" s="18" t="s">
        <v>6</v>
      </c>
      <c r="F84" s="18" t="s">
        <v>28</v>
      </c>
      <c r="G84" s="14" t="s">
        <v>341</v>
      </c>
    </row>
  </sheetData>
  <autoFilter ref="A4:G44"/>
  <conditionalFormatting sqref="E5:E44">
    <cfRule type="cellIs" priority="2" operator="equal" aboveAverage="0" equalAverage="0" bottom="0" percent="0" rank="0" text="" dxfId="8">
      <formula>"Done"</formula>
    </cfRule>
    <cfRule type="cellIs" priority="3" operator="equal" aboveAverage="0" equalAverage="0" bottom="0" percent="0" rank="0" text="" dxfId="9">
      <formula>"In Progress"</formula>
    </cfRule>
    <cfRule type="cellIs" priority="4" operator="equal" aboveAverage="0" equalAverage="0" bottom="0" percent="0" rank="0" text="" dxfId="10">
      <formula>"Blocked"</formula>
    </cfRule>
  </conditionalFormatting>
  <dataValidations count="1">
    <dataValidation allowBlank="true" errorStyle="stop" operator="between" showDropDown="false" showErrorMessage="false" showInputMessage="false" sqref="E5:E44" type="list">
      <formula1>"Not Started,In Progress,Done,Blocked,N/A"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8"/>
    <col collapsed="false" customWidth="true" hidden="false" outlineLevel="0" max="3" min="3" style="1" width="26"/>
    <col collapsed="false" customWidth="true" hidden="false" outlineLevel="0" max="4" min="4" style="1" width="56"/>
    <col collapsed="false" customWidth="true" hidden="false" outlineLevel="0" max="5" min="5" style="1" width="11"/>
    <col collapsed="false" customWidth="true" hidden="false" outlineLevel="0" max="6" min="6" style="1" width="13"/>
    <col collapsed="false" customWidth="true" hidden="false" outlineLevel="0" max="7" min="7" style="1" width="56"/>
  </cols>
  <sheetData>
    <row r="1" customFormat="false" ht="17.25" hidden="false" customHeight="true" outlineLevel="0" collapsed="false">
      <c r="A1" s="2" t="s">
        <v>342</v>
      </c>
    </row>
    <row r="3" customFormat="false" ht="15" hidden="false" customHeight="true" outlineLevel="0" collapsed="false">
      <c r="A3" s="4" t="s">
        <v>19</v>
      </c>
      <c r="B3" s="4" t="s">
        <v>20</v>
      </c>
      <c r="C3" s="4" t="s">
        <v>343</v>
      </c>
      <c r="D3" s="4" t="s">
        <v>344</v>
      </c>
      <c r="E3" s="4" t="s">
        <v>345</v>
      </c>
      <c r="F3" s="4" t="s">
        <v>22</v>
      </c>
      <c r="G3" s="4" t="s">
        <v>24</v>
      </c>
    </row>
    <row r="4" customFormat="false" ht="15" hidden="false" customHeight="true" outlineLevel="0" collapsed="false">
      <c r="A4" s="6" t="s">
        <v>346</v>
      </c>
      <c r="B4" s="6" t="s">
        <v>25</v>
      </c>
      <c r="C4" s="16" t="s">
        <v>347</v>
      </c>
      <c r="D4" s="16" t="s">
        <v>348</v>
      </c>
      <c r="E4" s="6" t="s">
        <v>349</v>
      </c>
      <c r="F4" s="6" t="s">
        <v>350</v>
      </c>
      <c r="G4" s="16" t="s">
        <v>351</v>
      </c>
    </row>
    <row r="5" customFormat="false" ht="15" hidden="false" customHeight="true" outlineLevel="0" collapsed="false">
      <c r="A5" s="6" t="s">
        <v>352</v>
      </c>
      <c r="B5" s="6" t="s">
        <v>25</v>
      </c>
      <c r="C5" s="16" t="s">
        <v>353</v>
      </c>
      <c r="D5" s="16" t="s">
        <v>354</v>
      </c>
      <c r="E5" s="6" t="s">
        <v>349</v>
      </c>
      <c r="F5" s="6" t="s">
        <v>350</v>
      </c>
      <c r="G5" s="16"/>
    </row>
    <row r="6" customFormat="false" ht="15" hidden="false" customHeight="true" outlineLevel="0" collapsed="false">
      <c r="A6" s="6" t="s">
        <v>355</v>
      </c>
      <c r="B6" s="6" t="s">
        <v>25</v>
      </c>
      <c r="C6" s="16" t="s">
        <v>356</v>
      </c>
      <c r="D6" s="16" t="s">
        <v>357</v>
      </c>
      <c r="E6" s="6" t="s">
        <v>358</v>
      </c>
      <c r="F6" s="6" t="s">
        <v>350</v>
      </c>
      <c r="G6" s="16"/>
    </row>
    <row r="7" customFormat="false" ht="15" hidden="false" customHeight="true" outlineLevel="0" collapsed="false">
      <c r="A7" s="6" t="s">
        <v>359</v>
      </c>
      <c r="B7" s="6" t="s">
        <v>25</v>
      </c>
      <c r="C7" s="16" t="s">
        <v>356</v>
      </c>
      <c r="D7" s="16" t="s">
        <v>360</v>
      </c>
      <c r="E7" s="6" t="s">
        <v>361</v>
      </c>
      <c r="F7" s="6" t="s">
        <v>350</v>
      </c>
      <c r="G7" s="16" t="s">
        <v>362</v>
      </c>
    </row>
    <row r="8" customFormat="false" ht="15" hidden="false" customHeight="true" outlineLevel="0" collapsed="false">
      <c r="A8" s="6" t="s">
        <v>363</v>
      </c>
      <c r="B8" s="6" t="s">
        <v>25</v>
      </c>
      <c r="C8" s="16" t="s">
        <v>364</v>
      </c>
      <c r="D8" s="16" t="s">
        <v>365</v>
      </c>
      <c r="E8" s="6" t="s">
        <v>361</v>
      </c>
      <c r="F8" s="6" t="s">
        <v>350</v>
      </c>
      <c r="G8" s="16"/>
    </row>
    <row r="9" customFormat="false" ht="15" hidden="false" customHeight="true" outlineLevel="0" collapsed="false">
      <c r="A9" s="6" t="s">
        <v>366</v>
      </c>
      <c r="B9" s="6" t="s">
        <v>30</v>
      </c>
      <c r="C9" s="16" t="s">
        <v>367</v>
      </c>
      <c r="D9" s="16" t="s">
        <v>368</v>
      </c>
      <c r="E9" s="6" t="s">
        <v>349</v>
      </c>
      <c r="F9" s="6" t="s">
        <v>350</v>
      </c>
      <c r="G9" s="16" t="s">
        <v>369</v>
      </c>
    </row>
    <row r="10" customFormat="false" ht="15" hidden="false" customHeight="true" outlineLevel="0" collapsed="false">
      <c r="A10" s="6" t="s">
        <v>370</v>
      </c>
      <c r="B10" s="6" t="s">
        <v>30</v>
      </c>
      <c r="C10" s="16" t="s">
        <v>371</v>
      </c>
      <c r="D10" s="16" t="s">
        <v>372</v>
      </c>
      <c r="E10" s="6" t="s">
        <v>349</v>
      </c>
      <c r="F10" s="6" t="s">
        <v>350</v>
      </c>
      <c r="G10" s="16" t="s">
        <v>373</v>
      </c>
    </row>
    <row r="11" customFormat="false" ht="15" hidden="false" customHeight="true" outlineLevel="0" collapsed="false">
      <c r="A11" s="6" t="s">
        <v>374</v>
      </c>
      <c r="B11" s="6" t="s">
        <v>30</v>
      </c>
      <c r="C11" s="16" t="s">
        <v>347</v>
      </c>
      <c r="D11" s="16" t="s">
        <v>375</v>
      </c>
      <c r="E11" s="6" t="s">
        <v>349</v>
      </c>
      <c r="F11" s="6" t="s">
        <v>350</v>
      </c>
      <c r="G11" s="16" t="s">
        <v>376</v>
      </c>
    </row>
    <row r="12" customFormat="false" ht="15" hidden="false" customHeight="true" outlineLevel="0" collapsed="false">
      <c r="A12" s="6" t="s">
        <v>377</v>
      </c>
      <c r="B12" s="6" t="s">
        <v>30</v>
      </c>
      <c r="C12" s="16" t="s">
        <v>378</v>
      </c>
      <c r="D12" s="16" t="s">
        <v>379</v>
      </c>
      <c r="E12" s="6" t="s">
        <v>361</v>
      </c>
      <c r="F12" s="6" t="s">
        <v>350</v>
      </c>
      <c r="G12" s="16" t="s">
        <v>380</v>
      </c>
    </row>
    <row r="13" customFormat="false" ht="15" hidden="false" customHeight="true" outlineLevel="0" collapsed="false">
      <c r="A13" s="6" t="s">
        <v>381</v>
      </c>
      <c r="B13" s="6" t="s">
        <v>30</v>
      </c>
      <c r="C13" s="16" t="s">
        <v>382</v>
      </c>
      <c r="D13" s="16" t="s">
        <v>383</v>
      </c>
      <c r="E13" s="6" t="s">
        <v>361</v>
      </c>
      <c r="F13" s="6" t="s">
        <v>350</v>
      </c>
      <c r="G13" s="16" t="s">
        <v>384</v>
      </c>
    </row>
    <row r="14" customFormat="false" ht="23.25" hidden="false" customHeight="true" outlineLevel="0" collapsed="false">
      <c r="A14" s="6" t="s">
        <v>385</v>
      </c>
      <c r="B14" s="6" t="s">
        <v>30</v>
      </c>
      <c r="C14" s="16" t="s">
        <v>386</v>
      </c>
      <c r="D14" s="16" t="s">
        <v>387</v>
      </c>
      <c r="E14" s="6" t="s">
        <v>361</v>
      </c>
      <c r="F14" s="6" t="s">
        <v>350</v>
      </c>
      <c r="G14" s="16" t="s">
        <v>388</v>
      </c>
    </row>
    <row r="15" customFormat="false" ht="23.25" hidden="false" customHeight="true" outlineLevel="0" collapsed="false">
      <c r="A15" s="6" t="s">
        <v>389</v>
      </c>
      <c r="B15" s="6" t="s">
        <v>390</v>
      </c>
      <c r="C15" s="16" t="s">
        <v>391</v>
      </c>
      <c r="D15" s="16" t="s">
        <v>392</v>
      </c>
      <c r="E15" s="6" t="s">
        <v>361</v>
      </c>
      <c r="F15" s="6" t="s">
        <v>350</v>
      </c>
      <c r="G15" s="16" t="s">
        <v>393</v>
      </c>
    </row>
    <row r="16" customFormat="false" ht="15" hidden="false" customHeight="true" outlineLevel="0" collapsed="false">
      <c r="A16" s="6" t="s">
        <v>394</v>
      </c>
      <c r="B16" s="6" t="s">
        <v>34</v>
      </c>
      <c r="C16" s="16" t="s">
        <v>395</v>
      </c>
      <c r="D16" s="16" t="s">
        <v>396</v>
      </c>
      <c r="E16" s="6" t="s">
        <v>349</v>
      </c>
      <c r="F16" s="6" t="s">
        <v>350</v>
      </c>
      <c r="G16" s="16" t="s">
        <v>397</v>
      </c>
    </row>
    <row r="17" customFormat="false" ht="15" hidden="false" customHeight="true" outlineLevel="0" collapsed="false">
      <c r="A17" s="6" t="s">
        <v>398</v>
      </c>
      <c r="B17" s="6" t="s">
        <v>47</v>
      </c>
      <c r="C17" s="16" t="s">
        <v>399</v>
      </c>
      <c r="D17" s="16" t="s">
        <v>400</v>
      </c>
      <c r="E17" s="6" t="s">
        <v>349</v>
      </c>
      <c r="F17" s="6" t="s">
        <v>350</v>
      </c>
      <c r="G17" s="16" t="s">
        <v>401</v>
      </c>
    </row>
    <row r="18" customFormat="false" ht="15" hidden="false" customHeight="true" outlineLevel="0" collapsed="false">
      <c r="A18" s="6" t="s">
        <v>402</v>
      </c>
      <c r="B18" s="6" t="s">
        <v>52</v>
      </c>
      <c r="C18" s="16" t="s">
        <v>403</v>
      </c>
      <c r="D18" s="16" t="s">
        <v>404</v>
      </c>
      <c r="E18" s="6" t="s">
        <v>358</v>
      </c>
      <c r="F18" s="6" t="s">
        <v>405</v>
      </c>
      <c r="G18" s="16" t="s">
        <v>406</v>
      </c>
    </row>
    <row r="19" customFormat="false" ht="15" hidden="false" customHeight="true" outlineLevel="0" collapsed="false">
      <c r="A19" s="6" t="s">
        <v>407</v>
      </c>
      <c r="B19" s="6" t="s">
        <v>390</v>
      </c>
      <c r="C19" s="16" t="s">
        <v>408</v>
      </c>
      <c r="D19" s="16" t="s">
        <v>409</v>
      </c>
      <c r="E19" s="6" t="s">
        <v>358</v>
      </c>
      <c r="F19" s="6" t="s">
        <v>350</v>
      </c>
      <c r="G19" s="16" t="s">
        <v>410</v>
      </c>
    </row>
    <row r="20" customFormat="false" ht="15" hidden="false" customHeight="true" outlineLevel="0" collapsed="false">
      <c r="A20" s="6" t="s">
        <v>411</v>
      </c>
      <c r="B20" s="6" t="s">
        <v>30</v>
      </c>
      <c r="C20" s="16" t="s">
        <v>412</v>
      </c>
      <c r="D20" s="16" t="s">
        <v>413</v>
      </c>
      <c r="E20" s="6" t="s">
        <v>358</v>
      </c>
      <c r="F20" s="6" t="s">
        <v>350</v>
      </c>
      <c r="G20" s="16" t="s">
        <v>414</v>
      </c>
    </row>
    <row r="21" customFormat="false" ht="15" hidden="false" customHeight="true" outlineLevel="0" collapsed="false">
      <c r="A21" s="6" t="s">
        <v>415</v>
      </c>
      <c r="B21" s="6" t="s">
        <v>390</v>
      </c>
      <c r="C21" s="16" t="s">
        <v>412</v>
      </c>
      <c r="D21" s="16" t="s">
        <v>416</v>
      </c>
      <c r="E21" s="6" t="s">
        <v>361</v>
      </c>
      <c r="F21" s="6" t="s">
        <v>350</v>
      </c>
      <c r="G21" s="16" t="s">
        <v>417</v>
      </c>
    </row>
    <row r="22" customFormat="false" ht="15" hidden="false" customHeight="true" outlineLevel="0" collapsed="false">
      <c r="A22" s="6" t="s">
        <v>418</v>
      </c>
      <c r="B22" s="6" t="s">
        <v>390</v>
      </c>
      <c r="C22" s="16" t="s">
        <v>419</v>
      </c>
      <c r="D22" s="16" t="s">
        <v>420</v>
      </c>
      <c r="E22" s="6" t="s">
        <v>361</v>
      </c>
      <c r="F22" s="6" t="s">
        <v>421</v>
      </c>
      <c r="G22" s="16" t="s">
        <v>422</v>
      </c>
    </row>
    <row r="23" customFormat="false" ht="15" hidden="false" customHeight="true" outlineLevel="0" collapsed="false">
      <c r="A23" s="6" t="s">
        <v>423</v>
      </c>
      <c r="B23" s="6" t="s">
        <v>390</v>
      </c>
      <c r="C23" s="16" t="s">
        <v>424</v>
      </c>
      <c r="D23" s="16" t="s">
        <v>425</v>
      </c>
      <c r="E23" s="6" t="s">
        <v>358</v>
      </c>
      <c r="F23" s="6" t="s">
        <v>350</v>
      </c>
      <c r="G23" s="16" t="s">
        <v>426</v>
      </c>
    </row>
    <row r="24" customFormat="false" ht="23.25" hidden="false" customHeight="true" outlineLevel="0" collapsed="false">
      <c r="A24" s="6" t="s">
        <v>427</v>
      </c>
      <c r="B24" s="6" t="s">
        <v>390</v>
      </c>
      <c r="C24" s="16" t="s">
        <v>428</v>
      </c>
      <c r="D24" s="16" t="s">
        <v>429</v>
      </c>
      <c r="E24" s="6" t="s">
        <v>349</v>
      </c>
      <c r="F24" s="6" t="s">
        <v>350</v>
      </c>
      <c r="G24" s="16" t="s">
        <v>430</v>
      </c>
    </row>
    <row r="25" customFormat="false" ht="23.25" hidden="false" customHeight="true" outlineLevel="0" collapsed="false">
      <c r="A25" s="6" t="s">
        <v>431</v>
      </c>
      <c r="B25" s="6" t="s">
        <v>390</v>
      </c>
      <c r="C25" s="16" t="s">
        <v>432</v>
      </c>
      <c r="D25" s="16" t="s">
        <v>433</v>
      </c>
      <c r="E25" s="6" t="s">
        <v>361</v>
      </c>
      <c r="F25" s="6" t="s">
        <v>350</v>
      </c>
      <c r="G25" s="16" t="s">
        <v>434</v>
      </c>
    </row>
    <row r="26" customFormat="false" ht="23.25" hidden="false" customHeight="true" outlineLevel="0" collapsed="false">
      <c r="A26" s="6" t="s">
        <v>435</v>
      </c>
      <c r="B26" s="6" t="s">
        <v>390</v>
      </c>
      <c r="C26" s="16" t="s">
        <v>436</v>
      </c>
      <c r="D26" s="16" t="s">
        <v>437</v>
      </c>
      <c r="E26" s="6" t="s">
        <v>358</v>
      </c>
      <c r="F26" s="6" t="s">
        <v>350</v>
      </c>
      <c r="G26" s="16" t="s">
        <v>438</v>
      </c>
    </row>
    <row r="27" customFormat="false" ht="23.25" hidden="false" customHeight="true" outlineLevel="0" collapsed="false">
      <c r="A27" s="6" t="s">
        <v>439</v>
      </c>
      <c r="B27" s="6" t="s">
        <v>390</v>
      </c>
      <c r="C27" s="16" t="s">
        <v>440</v>
      </c>
      <c r="D27" s="16" t="s">
        <v>441</v>
      </c>
      <c r="E27" s="6" t="s">
        <v>349</v>
      </c>
      <c r="F27" s="6" t="s">
        <v>350</v>
      </c>
      <c r="G27" s="16" t="s">
        <v>442</v>
      </c>
    </row>
    <row r="28" customFormat="false" ht="23.25" hidden="false" customHeight="true" outlineLevel="0" collapsed="false">
      <c r="A28" s="6" t="s">
        <v>443</v>
      </c>
      <c r="B28" s="6" t="s">
        <v>39</v>
      </c>
      <c r="C28" s="16" t="s">
        <v>353</v>
      </c>
      <c r="D28" s="16" t="s">
        <v>444</v>
      </c>
      <c r="E28" s="6" t="s">
        <v>349</v>
      </c>
      <c r="F28" s="6" t="s">
        <v>350</v>
      </c>
      <c r="G28" s="16" t="s">
        <v>445</v>
      </c>
    </row>
    <row r="29" customFormat="false" ht="23.25" hidden="false" customHeight="true" outlineLevel="0" collapsed="false">
      <c r="A29" s="6" t="s">
        <v>446</v>
      </c>
      <c r="B29" s="6" t="s">
        <v>43</v>
      </c>
      <c r="C29" s="16" t="s">
        <v>356</v>
      </c>
      <c r="D29" s="16" t="s">
        <v>447</v>
      </c>
      <c r="E29" s="6" t="s">
        <v>361</v>
      </c>
      <c r="F29" s="6" t="s">
        <v>350</v>
      </c>
      <c r="G29" s="16" t="s">
        <v>448</v>
      </c>
    </row>
    <row r="30" customFormat="false" ht="23.25" hidden="false" customHeight="true" outlineLevel="0" collapsed="false">
      <c r="A30" s="6" t="s">
        <v>449</v>
      </c>
      <c r="B30" s="6" t="s">
        <v>43</v>
      </c>
      <c r="C30" s="16" t="s">
        <v>367</v>
      </c>
      <c r="D30" s="16" t="s">
        <v>450</v>
      </c>
      <c r="E30" s="6" t="s">
        <v>361</v>
      </c>
      <c r="F30" s="6" t="s">
        <v>350</v>
      </c>
      <c r="G30" s="16" t="s">
        <v>451</v>
      </c>
    </row>
    <row r="31" customFormat="false" ht="45.75" hidden="false" customHeight="true" outlineLevel="0" collapsed="false">
      <c r="A31" s="6" t="s">
        <v>452</v>
      </c>
      <c r="B31" s="6" t="s">
        <v>47</v>
      </c>
      <c r="C31" s="16" t="s">
        <v>453</v>
      </c>
      <c r="D31" s="16" t="s">
        <v>454</v>
      </c>
      <c r="E31" s="6" t="s">
        <v>349</v>
      </c>
      <c r="F31" s="6" t="s">
        <v>350</v>
      </c>
      <c r="G31" s="16" t="s">
        <v>455</v>
      </c>
    </row>
    <row r="32" customFormat="false" ht="23.25" hidden="false" customHeight="true" outlineLevel="0" collapsed="false">
      <c r="A32" s="6" t="s">
        <v>456</v>
      </c>
      <c r="B32" s="6" t="s">
        <v>457</v>
      </c>
      <c r="C32" s="16" t="s">
        <v>412</v>
      </c>
      <c r="D32" s="16" t="s">
        <v>458</v>
      </c>
      <c r="E32" s="6" t="s">
        <v>349</v>
      </c>
      <c r="F32" s="6" t="s">
        <v>350</v>
      </c>
      <c r="G32" s="16" t="s">
        <v>459</v>
      </c>
    </row>
    <row r="33" customFormat="false" ht="23.25" hidden="false" customHeight="true" outlineLevel="0" collapsed="false">
      <c r="A33" s="6" t="s">
        <v>460</v>
      </c>
      <c r="B33" s="6" t="s">
        <v>457</v>
      </c>
      <c r="C33" s="16" t="s">
        <v>461</v>
      </c>
      <c r="D33" s="16" t="s">
        <v>462</v>
      </c>
      <c r="E33" s="6" t="s">
        <v>349</v>
      </c>
      <c r="F33" s="6" t="s">
        <v>350</v>
      </c>
      <c r="G33" s="16" t="s">
        <v>463</v>
      </c>
    </row>
    <row r="34" customFormat="false" ht="23.25" hidden="false" customHeight="true" outlineLevel="0" collapsed="false">
      <c r="A34" s="6" t="s">
        <v>464</v>
      </c>
      <c r="B34" s="6" t="s">
        <v>390</v>
      </c>
      <c r="C34" s="16" t="s">
        <v>465</v>
      </c>
      <c r="D34" s="16" t="s">
        <v>466</v>
      </c>
      <c r="E34" s="6" t="s">
        <v>358</v>
      </c>
      <c r="F34" s="6" t="s">
        <v>421</v>
      </c>
      <c r="G34" s="16" t="s">
        <v>467</v>
      </c>
    </row>
    <row r="35" customFormat="false" ht="34.5" hidden="false" customHeight="true" outlineLevel="0" collapsed="false">
      <c r="A35" s="6" t="s">
        <v>468</v>
      </c>
      <c r="B35" s="6" t="s">
        <v>390</v>
      </c>
      <c r="C35" s="16" t="s">
        <v>469</v>
      </c>
      <c r="D35" s="16" t="s">
        <v>470</v>
      </c>
      <c r="E35" s="6" t="s">
        <v>358</v>
      </c>
      <c r="F35" s="6" t="s">
        <v>421</v>
      </c>
      <c r="G35" s="16" t="s">
        <v>471</v>
      </c>
    </row>
    <row r="36" customFormat="false" ht="15" hidden="false" customHeight="true" outlineLevel="0" collapsed="false">
      <c r="A36" s="6" t="s">
        <v>472</v>
      </c>
      <c r="B36" s="6" t="s">
        <v>390</v>
      </c>
      <c r="C36" s="16" t="s">
        <v>469</v>
      </c>
      <c r="D36" s="16" t="s">
        <v>473</v>
      </c>
      <c r="E36" s="6" t="s">
        <v>358</v>
      </c>
      <c r="F36" s="6" t="s">
        <v>350</v>
      </c>
      <c r="G36" s="16" t="s">
        <v>474</v>
      </c>
    </row>
    <row r="37" customFormat="false" ht="34.5" hidden="false" customHeight="true" outlineLevel="0" collapsed="false">
      <c r="A37" s="19" t="s">
        <v>475</v>
      </c>
      <c r="B37" s="19" t="s">
        <v>56</v>
      </c>
      <c r="C37" s="19" t="s">
        <v>476</v>
      </c>
      <c r="D37" s="16" t="s">
        <v>477</v>
      </c>
      <c r="E37" s="19" t="s">
        <v>361</v>
      </c>
      <c r="F37" s="19" t="s">
        <v>350</v>
      </c>
      <c r="G37" s="16" t="s">
        <v>478</v>
      </c>
    </row>
    <row r="38" customFormat="false" ht="34.5" hidden="false" customHeight="true" outlineLevel="0" collapsed="false">
      <c r="A38" s="19" t="s">
        <v>479</v>
      </c>
      <c r="B38" s="19" t="s">
        <v>480</v>
      </c>
      <c r="C38" s="19" t="s">
        <v>481</v>
      </c>
      <c r="D38" s="16" t="s">
        <v>482</v>
      </c>
      <c r="E38" s="19" t="s">
        <v>358</v>
      </c>
      <c r="F38" s="19" t="s">
        <v>421</v>
      </c>
      <c r="G38" s="16" t="s">
        <v>483</v>
      </c>
    </row>
    <row r="39" customFormat="false" ht="45.75" hidden="false" customHeight="true" outlineLevel="0" collapsed="false">
      <c r="A39" s="19" t="s">
        <v>484</v>
      </c>
      <c r="B39" s="19" t="s">
        <v>52</v>
      </c>
      <c r="C39" s="19" t="s">
        <v>364</v>
      </c>
      <c r="D39" s="16" t="s">
        <v>485</v>
      </c>
      <c r="E39" s="19" t="s">
        <v>349</v>
      </c>
      <c r="F39" s="19" t="s">
        <v>350</v>
      </c>
      <c r="G39" s="16" t="s">
        <v>486</v>
      </c>
    </row>
    <row r="40" customFormat="false" ht="23.25" hidden="false" customHeight="true" outlineLevel="0" collapsed="false">
      <c r="A40" s="19" t="s">
        <v>487</v>
      </c>
      <c r="B40" s="19" t="s">
        <v>418</v>
      </c>
      <c r="C40" s="19" t="s">
        <v>488</v>
      </c>
      <c r="D40" s="16" t="s">
        <v>489</v>
      </c>
      <c r="E40" s="19" t="s">
        <v>361</v>
      </c>
      <c r="F40" s="19" t="s">
        <v>421</v>
      </c>
      <c r="G40" s="16" t="s">
        <v>490</v>
      </c>
    </row>
    <row r="41" customFormat="false" ht="34.5" hidden="false" customHeight="true" outlineLevel="0" collapsed="false">
      <c r="A41" s="19" t="s">
        <v>491</v>
      </c>
      <c r="B41" s="19" t="s">
        <v>76</v>
      </c>
      <c r="C41" s="19" t="s">
        <v>492</v>
      </c>
      <c r="D41" s="16" t="s">
        <v>493</v>
      </c>
      <c r="E41" s="19" t="s">
        <v>361</v>
      </c>
      <c r="F41" s="19" t="s">
        <v>350</v>
      </c>
      <c r="G41" s="16" t="s">
        <v>494</v>
      </c>
    </row>
    <row r="42" customFormat="false" ht="34.5" hidden="false" customHeight="true" outlineLevel="0" collapsed="false">
      <c r="A42" s="19" t="s">
        <v>495</v>
      </c>
      <c r="B42" s="19" t="s">
        <v>76</v>
      </c>
      <c r="C42" s="19" t="s">
        <v>496</v>
      </c>
      <c r="D42" s="16" t="s">
        <v>497</v>
      </c>
      <c r="E42" s="19" t="s">
        <v>358</v>
      </c>
      <c r="F42" s="19" t="s">
        <v>350</v>
      </c>
      <c r="G42" s="16" t="s">
        <v>498</v>
      </c>
    </row>
    <row r="43" customFormat="false" ht="23.25" hidden="false" customHeight="true" outlineLevel="0" collapsed="false">
      <c r="A43" s="19" t="s">
        <v>499</v>
      </c>
      <c r="B43" s="19" t="s">
        <v>84</v>
      </c>
      <c r="C43" s="19" t="s">
        <v>500</v>
      </c>
      <c r="D43" s="16" t="s">
        <v>501</v>
      </c>
      <c r="E43" s="19" t="s">
        <v>358</v>
      </c>
      <c r="F43" s="19" t="s">
        <v>350</v>
      </c>
      <c r="G43" s="16" t="s">
        <v>502</v>
      </c>
    </row>
    <row r="44" customFormat="false" ht="23.25" hidden="false" customHeight="true" outlineLevel="0" collapsed="false">
      <c r="A44" s="19" t="s">
        <v>503</v>
      </c>
      <c r="B44" s="19" t="s">
        <v>76</v>
      </c>
      <c r="C44" s="19" t="s">
        <v>504</v>
      </c>
      <c r="D44" s="16" t="s">
        <v>505</v>
      </c>
      <c r="E44" s="19" t="s">
        <v>358</v>
      </c>
      <c r="F44" s="19" t="s">
        <v>350</v>
      </c>
      <c r="G44" s="16" t="s">
        <v>506</v>
      </c>
    </row>
    <row r="45" customFormat="false" ht="34.5" hidden="false" customHeight="true" outlineLevel="0" collapsed="false">
      <c r="A45" s="19" t="s">
        <v>507</v>
      </c>
      <c r="B45" s="19" t="s">
        <v>183</v>
      </c>
      <c r="C45" s="19" t="s">
        <v>508</v>
      </c>
      <c r="D45" s="16" t="s">
        <v>509</v>
      </c>
      <c r="E45" s="19" t="s">
        <v>349</v>
      </c>
      <c r="F45" s="19" t="s">
        <v>350</v>
      </c>
      <c r="G45" s="16" t="s">
        <v>510</v>
      </c>
    </row>
    <row r="46" customFormat="false" ht="23.25" hidden="false" customHeight="true" outlineLevel="0" collapsed="false">
      <c r="A46" s="19" t="s">
        <v>511</v>
      </c>
      <c r="B46" s="19" t="s">
        <v>80</v>
      </c>
      <c r="C46" s="19" t="s">
        <v>512</v>
      </c>
      <c r="D46" s="16" t="s">
        <v>513</v>
      </c>
      <c r="E46" s="19" t="s">
        <v>349</v>
      </c>
      <c r="F46" s="19" t="s">
        <v>350</v>
      </c>
      <c r="G46" s="16" t="s">
        <v>514</v>
      </c>
    </row>
    <row r="47" customFormat="false" ht="23.25" hidden="false" customHeight="true" outlineLevel="0" collapsed="false">
      <c r="A47" s="19" t="s">
        <v>515</v>
      </c>
      <c r="B47" s="19" t="s">
        <v>183</v>
      </c>
      <c r="C47" s="19" t="s">
        <v>516</v>
      </c>
      <c r="D47" s="16" t="s">
        <v>517</v>
      </c>
      <c r="E47" s="19" t="s">
        <v>361</v>
      </c>
      <c r="F47" s="19" t="s">
        <v>421</v>
      </c>
      <c r="G47" s="16" t="s">
        <v>518</v>
      </c>
    </row>
    <row r="48" customFormat="false" ht="34.5" hidden="false" customHeight="true" outlineLevel="0" collapsed="false">
      <c r="A48" s="19" t="s">
        <v>519</v>
      </c>
      <c r="B48" s="19" t="s">
        <v>183</v>
      </c>
      <c r="C48" s="19" t="s">
        <v>412</v>
      </c>
      <c r="D48" s="16" t="s">
        <v>520</v>
      </c>
      <c r="E48" s="19" t="s">
        <v>361</v>
      </c>
      <c r="F48" s="19" t="s">
        <v>421</v>
      </c>
      <c r="G48" s="16" t="s">
        <v>521</v>
      </c>
    </row>
    <row r="49" customFormat="false" ht="34.5" hidden="false" customHeight="true" outlineLevel="0" collapsed="false">
      <c r="A49" s="19" t="s">
        <v>522</v>
      </c>
      <c r="B49" s="19" t="s">
        <v>207</v>
      </c>
      <c r="C49" s="19" t="s">
        <v>523</v>
      </c>
      <c r="D49" s="16" t="s">
        <v>524</v>
      </c>
      <c r="E49" s="19" t="s">
        <v>358</v>
      </c>
      <c r="F49" s="19" t="s">
        <v>421</v>
      </c>
      <c r="G49" s="16" t="s">
        <v>525</v>
      </c>
    </row>
    <row r="50" customFormat="false" ht="34.5" hidden="false" customHeight="true" outlineLevel="0" collapsed="false">
      <c r="A50" s="19" t="s">
        <v>526</v>
      </c>
      <c r="B50" s="19" t="s">
        <v>230</v>
      </c>
      <c r="C50" s="19" t="s">
        <v>527</v>
      </c>
      <c r="D50" s="16" t="s">
        <v>528</v>
      </c>
      <c r="E50" s="19" t="s">
        <v>349</v>
      </c>
      <c r="F50" s="19" t="s">
        <v>350</v>
      </c>
      <c r="G50" s="16" t="s">
        <v>529</v>
      </c>
    </row>
    <row r="51" customFormat="false" ht="23.25" hidden="false" customHeight="true" outlineLevel="0" collapsed="false">
      <c r="A51" s="19" t="s">
        <v>530</v>
      </c>
      <c r="B51" s="19" t="s">
        <v>230</v>
      </c>
      <c r="C51" s="19" t="s">
        <v>531</v>
      </c>
      <c r="D51" s="16" t="s">
        <v>532</v>
      </c>
      <c r="E51" s="19" t="s">
        <v>361</v>
      </c>
      <c r="F51" s="19" t="s">
        <v>350</v>
      </c>
      <c r="G51" s="16" t="s">
        <v>533</v>
      </c>
    </row>
    <row r="52" customFormat="false" ht="23.25" hidden="false" customHeight="true" outlineLevel="0" collapsed="false">
      <c r="A52" s="19" t="s">
        <v>534</v>
      </c>
      <c r="B52" s="19" t="s">
        <v>230</v>
      </c>
      <c r="C52" s="19" t="s">
        <v>500</v>
      </c>
      <c r="D52" s="16" t="s">
        <v>535</v>
      </c>
      <c r="E52" s="19" t="s">
        <v>358</v>
      </c>
      <c r="F52" s="19" t="s">
        <v>350</v>
      </c>
      <c r="G52" s="16" t="s">
        <v>536</v>
      </c>
    </row>
    <row r="53" customFormat="false" ht="23.25" hidden="false" customHeight="true" outlineLevel="0" collapsed="false">
      <c r="A53" s="19" t="s">
        <v>537</v>
      </c>
      <c r="B53" s="19" t="s">
        <v>230</v>
      </c>
      <c r="C53" s="19" t="s">
        <v>538</v>
      </c>
      <c r="D53" s="16" t="s">
        <v>539</v>
      </c>
      <c r="E53" s="19" t="s">
        <v>361</v>
      </c>
      <c r="F53" s="19" t="s">
        <v>350</v>
      </c>
      <c r="G53" s="16" t="s">
        <v>540</v>
      </c>
    </row>
    <row r="54" customFormat="false" ht="23.25" hidden="false" customHeight="true" outlineLevel="0" collapsed="false">
      <c r="A54" s="19" t="s">
        <v>541</v>
      </c>
      <c r="B54" s="19" t="s">
        <v>230</v>
      </c>
      <c r="C54" s="19" t="s">
        <v>542</v>
      </c>
      <c r="D54" s="16" t="s">
        <v>543</v>
      </c>
      <c r="E54" s="19" t="s">
        <v>349</v>
      </c>
      <c r="F54" s="19" t="s">
        <v>350</v>
      </c>
      <c r="G54" s="16" t="s">
        <v>544</v>
      </c>
    </row>
    <row r="55" customFormat="false" ht="15" hidden="false" customHeight="true" outlineLevel="0" collapsed="false">
      <c r="A55" s="19" t="s">
        <v>545</v>
      </c>
      <c r="B55" s="19" t="s">
        <v>230</v>
      </c>
      <c r="C55" s="19" t="s">
        <v>546</v>
      </c>
      <c r="D55" s="16" t="s">
        <v>547</v>
      </c>
      <c r="E55" s="19" t="s">
        <v>361</v>
      </c>
      <c r="F55" s="19" t="s">
        <v>350</v>
      </c>
      <c r="G55" s="16" t="s">
        <v>548</v>
      </c>
    </row>
    <row r="56" customFormat="false" ht="23.25" hidden="false" customHeight="true" outlineLevel="0" collapsed="false">
      <c r="A56" s="19" t="s">
        <v>549</v>
      </c>
      <c r="B56" s="19" t="s">
        <v>230</v>
      </c>
      <c r="C56" s="19" t="s">
        <v>538</v>
      </c>
      <c r="D56" s="16" t="s">
        <v>550</v>
      </c>
      <c r="E56" s="19" t="s">
        <v>361</v>
      </c>
      <c r="F56" s="19" t="s">
        <v>350</v>
      </c>
      <c r="G56" s="16" t="s">
        <v>551</v>
      </c>
    </row>
    <row r="57" customFormat="false" ht="23.25" hidden="false" customHeight="true" outlineLevel="0" collapsed="false">
      <c r="A57" s="19" t="s">
        <v>552</v>
      </c>
      <c r="B57" s="19" t="s">
        <v>230</v>
      </c>
      <c r="C57" s="19" t="s">
        <v>553</v>
      </c>
      <c r="D57" s="16" t="s">
        <v>554</v>
      </c>
      <c r="E57" s="19" t="s">
        <v>361</v>
      </c>
      <c r="F57" s="19" t="s">
        <v>350</v>
      </c>
      <c r="G57" s="16" t="s">
        <v>555</v>
      </c>
    </row>
    <row r="58" customFormat="false" ht="34.5" hidden="false" customHeight="true" outlineLevel="0" collapsed="false">
      <c r="A58" s="19" t="s">
        <v>556</v>
      </c>
      <c r="B58" s="19" t="s">
        <v>230</v>
      </c>
      <c r="C58" s="19" t="s">
        <v>557</v>
      </c>
      <c r="D58" s="16" t="s">
        <v>558</v>
      </c>
      <c r="E58" s="19" t="s">
        <v>349</v>
      </c>
      <c r="F58" s="19" t="s">
        <v>350</v>
      </c>
      <c r="G58" s="16" t="s">
        <v>559</v>
      </c>
    </row>
    <row r="59" customFormat="false" ht="23.25" hidden="false" customHeight="true" outlineLevel="0" collapsed="false">
      <c r="A59" s="19" t="s">
        <v>560</v>
      </c>
      <c r="B59" s="19" t="s">
        <v>230</v>
      </c>
      <c r="C59" s="19" t="s">
        <v>561</v>
      </c>
      <c r="D59" s="16" t="s">
        <v>562</v>
      </c>
      <c r="E59" s="19" t="s">
        <v>361</v>
      </c>
      <c r="F59" s="19" t="s">
        <v>350</v>
      </c>
      <c r="G59" s="16" t="s">
        <v>563</v>
      </c>
    </row>
    <row r="60" customFormat="false" ht="34.5" hidden="false" customHeight="true" outlineLevel="0" collapsed="false">
      <c r="A60" s="19" t="s">
        <v>564</v>
      </c>
      <c r="B60" s="19" t="s">
        <v>230</v>
      </c>
      <c r="C60" s="19" t="s">
        <v>565</v>
      </c>
      <c r="D60" s="16" t="s">
        <v>566</v>
      </c>
      <c r="E60" s="19" t="s">
        <v>361</v>
      </c>
      <c r="F60" s="19" t="s">
        <v>405</v>
      </c>
      <c r="G60" s="16" t="s">
        <v>567</v>
      </c>
    </row>
    <row r="61" customFormat="false" ht="23.25" hidden="false" customHeight="true" outlineLevel="0" collapsed="false">
      <c r="A61" s="19" t="s">
        <v>568</v>
      </c>
      <c r="B61" s="19" t="s">
        <v>230</v>
      </c>
      <c r="C61" s="19" t="s">
        <v>569</v>
      </c>
      <c r="D61" s="16" t="s">
        <v>570</v>
      </c>
      <c r="E61" s="19" t="s">
        <v>361</v>
      </c>
      <c r="F61" s="19" t="s">
        <v>421</v>
      </c>
      <c r="G61" s="16" t="s">
        <v>571</v>
      </c>
    </row>
    <row r="62" customFormat="false" ht="34.5" hidden="false" customHeight="true" outlineLevel="0" collapsed="false">
      <c r="A62" s="19" t="s">
        <v>572</v>
      </c>
      <c r="B62" s="19" t="s">
        <v>254</v>
      </c>
      <c r="C62" s="19" t="s">
        <v>573</v>
      </c>
      <c r="D62" s="16" t="s">
        <v>574</v>
      </c>
      <c r="E62" s="19" t="s">
        <v>349</v>
      </c>
      <c r="F62" s="19" t="s">
        <v>350</v>
      </c>
      <c r="G62" s="16" t="s">
        <v>575</v>
      </c>
    </row>
    <row r="63" customFormat="false" ht="34.5" hidden="false" customHeight="true" outlineLevel="0" collapsed="false">
      <c r="A63" s="19" t="s">
        <v>576</v>
      </c>
      <c r="B63" s="19" t="s">
        <v>266</v>
      </c>
      <c r="C63" s="19" t="s">
        <v>577</v>
      </c>
      <c r="D63" s="16" t="s">
        <v>578</v>
      </c>
      <c r="E63" s="19" t="s">
        <v>361</v>
      </c>
      <c r="F63" s="19" t="s">
        <v>350</v>
      </c>
      <c r="G63" s="16" t="s">
        <v>579</v>
      </c>
    </row>
    <row r="64" customFormat="false" ht="34.5" hidden="false" customHeight="true" outlineLevel="0" collapsed="false">
      <c r="A64" s="19" t="s">
        <v>580</v>
      </c>
      <c r="B64" s="19" t="s">
        <v>274</v>
      </c>
      <c r="C64" s="19" t="s">
        <v>581</v>
      </c>
      <c r="D64" s="16" t="s">
        <v>582</v>
      </c>
      <c r="E64" s="19" t="s">
        <v>361</v>
      </c>
      <c r="F64" s="19" t="s">
        <v>350</v>
      </c>
      <c r="G64" s="16" t="s">
        <v>583</v>
      </c>
    </row>
    <row r="65" customFormat="false" ht="23.25" hidden="false" customHeight="true" outlineLevel="0" collapsed="false">
      <c r="A65" s="19" t="s">
        <v>584</v>
      </c>
      <c r="B65" s="19" t="s">
        <v>262</v>
      </c>
      <c r="C65" s="19" t="s">
        <v>453</v>
      </c>
      <c r="D65" s="16" t="s">
        <v>585</v>
      </c>
      <c r="E65" s="19" t="s">
        <v>358</v>
      </c>
      <c r="F65" s="19" t="s">
        <v>350</v>
      </c>
      <c r="G65" s="16" t="s">
        <v>586</v>
      </c>
    </row>
    <row r="66" customFormat="false" ht="34.5" hidden="false" customHeight="true" outlineLevel="0" collapsed="false">
      <c r="A66" s="19" t="s">
        <v>587</v>
      </c>
      <c r="B66" s="19" t="s">
        <v>274</v>
      </c>
      <c r="C66" s="19" t="s">
        <v>588</v>
      </c>
      <c r="D66" s="16" t="s">
        <v>589</v>
      </c>
      <c r="E66" s="19" t="s">
        <v>361</v>
      </c>
      <c r="F66" s="19" t="s">
        <v>421</v>
      </c>
      <c r="G66" s="16" t="s">
        <v>590</v>
      </c>
    </row>
    <row r="67" customFormat="false" ht="57" hidden="false" customHeight="true" outlineLevel="0" collapsed="false">
      <c r="A67" s="19" t="s">
        <v>591</v>
      </c>
      <c r="B67" s="19" t="s">
        <v>270</v>
      </c>
      <c r="C67" s="19" t="s">
        <v>592</v>
      </c>
      <c r="D67" s="16" t="s">
        <v>593</v>
      </c>
      <c r="E67" s="19" t="s">
        <v>361</v>
      </c>
      <c r="F67" s="19" t="s">
        <v>350</v>
      </c>
      <c r="G67" s="16" t="s">
        <v>594</v>
      </c>
    </row>
    <row r="68" customFormat="false" ht="45.75" hidden="false" customHeight="true" outlineLevel="0" collapsed="false">
      <c r="A68" s="19" t="s">
        <v>595</v>
      </c>
      <c r="B68" s="19" t="s">
        <v>306</v>
      </c>
      <c r="C68" s="19" t="s">
        <v>596</v>
      </c>
      <c r="D68" s="16" t="s">
        <v>597</v>
      </c>
      <c r="E68" s="19" t="s">
        <v>349</v>
      </c>
      <c r="F68" s="19" t="s">
        <v>350</v>
      </c>
      <c r="G68" s="16" t="s">
        <v>598</v>
      </c>
    </row>
    <row r="69" customFormat="false" ht="34.5" hidden="false" customHeight="true" outlineLevel="0" collapsed="false">
      <c r="A69" s="19" t="s">
        <v>599</v>
      </c>
      <c r="B69" s="19" t="s">
        <v>306</v>
      </c>
      <c r="C69" s="19" t="s">
        <v>600</v>
      </c>
      <c r="D69" s="16" t="s">
        <v>601</v>
      </c>
      <c r="E69" s="19" t="s">
        <v>361</v>
      </c>
      <c r="F69" s="19" t="s">
        <v>350</v>
      </c>
      <c r="G69" s="16" t="s">
        <v>602</v>
      </c>
    </row>
    <row r="70" customFormat="false" ht="34.5" hidden="false" customHeight="true" outlineLevel="0" collapsed="false">
      <c r="A70" s="19" t="s">
        <v>603</v>
      </c>
      <c r="B70" s="19" t="s">
        <v>306</v>
      </c>
      <c r="C70" s="19" t="s">
        <v>604</v>
      </c>
      <c r="D70" s="16" t="s">
        <v>605</v>
      </c>
      <c r="E70" s="19" t="s">
        <v>361</v>
      </c>
      <c r="F70" s="19" t="s">
        <v>350</v>
      </c>
      <c r="G70" s="16" t="s">
        <v>606</v>
      </c>
    </row>
    <row r="71" customFormat="false" ht="68.25" hidden="false" customHeight="true" outlineLevel="0" collapsed="false">
      <c r="A71" s="19" t="s">
        <v>607</v>
      </c>
      <c r="B71" s="19" t="s">
        <v>262</v>
      </c>
      <c r="C71" s="19" t="s">
        <v>608</v>
      </c>
      <c r="D71" s="16" t="s">
        <v>609</v>
      </c>
      <c r="E71" s="19" t="s">
        <v>361</v>
      </c>
      <c r="F71" s="19" t="s">
        <v>405</v>
      </c>
      <c r="G71" s="16" t="s">
        <v>610</v>
      </c>
    </row>
    <row r="72" customFormat="false" ht="68.25" hidden="false" customHeight="true" outlineLevel="0" collapsed="false">
      <c r="A72" s="19" t="s">
        <v>611</v>
      </c>
      <c r="B72" s="19" t="s">
        <v>612</v>
      </c>
      <c r="C72" s="19" t="s">
        <v>613</v>
      </c>
      <c r="D72" s="16" t="s">
        <v>614</v>
      </c>
      <c r="E72" s="19" t="s">
        <v>349</v>
      </c>
      <c r="F72" s="19" t="s">
        <v>350</v>
      </c>
      <c r="G72" s="16" t="s">
        <v>615</v>
      </c>
    </row>
    <row r="73" customFormat="false" ht="57" hidden="false" customHeight="true" outlineLevel="0" collapsed="false">
      <c r="A73" s="19" t="s">
        <v>616</v>
      </c>
      <c r="B73" s="19" t="s">
        <v>612</v>
      </c>
      <c r="C73" s="19" t="s">
        <v>617</v>
      </c>
      <c r="D73" s="16" t="s">
        <v>618</v>
      </c>
      <c r="E73" s="19" t="s">
        <v>349</v>
      </c>
      <c r="F73" s="19" t="s">
        <v>350</v>
      </c>
      <c r="G73" s="16" t="s">
        <v>619</v>
      </c>
    </row>
    <row r="74" customFormat="false" ht="45.75" hidden="false" customHeight="true" outlineLevel="0" collapsed="false">
      <c r="A74" s="19" t="s">
        <v>620</v>
      </c>
      <c r="B74" s="19" t="s">
        <v>612</v>
      </c>
      <c r="C74" s="19" t="s">
        <v>557</v>
      </c>
      <c r="D74" s="16" t="s">
        <v>621</v>
      </c>
      <c r="E74" s="19" t="s">
        <v>361</v>
      </c>
      <c r="F74" s="19" t="s">
        <v>350</v>
      </c>
      <c r="G74" s="16" t="s">
        <v>622</v>
      </c>
    </row>
  </sheetData>
  <autoFilter ref="A3:G36"/>
  <conditionalFormatting sqref="E4:E23">
    <cfRule type="cellIs" priority="2" operator="equal" aboveAverage="0" equalAverage="0" bottom="0" percent="0" rank="0" text="" dxfId="13">
      <formula>"Critical"</formula>
    </cfRule>
  </conditionalFormatting>
  <conditionalFormatting sqref="F4:F23">
    <cfRule type="cellIs" priority="3" operator="equal" aboveAverage="0" equalAverage="0" bottom="0" percent="0" rank="0" text="" dxfId="8">
      <formula>"Fixed"</formula>
    </cfRule>
    <cfRule type="cellIs" priority="4" operator="equal" aboveAverage="0" equalAverage="0" bottom="0" percent="0" rank="0" text="" dxfId="9">
      <formula>"Open"</formula>
    </cfRule>
  </conditionalFormatting>
  <dataValidations count="1">
    <dataValidation allowBlank="true" errorStyle="stop" operator="between" showDropDown="false" showErrorMessage="false" showInputMessage="false" sqref="F4:F23" type="list">
      <formula1>"Open,In Progress,Fixed,Mitigated,Won't Fix"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16"/>
    <col collapsed="false" customWidth="true" hidden="false" outlineLevel="0" max="3" min="3" style="1" width="62"/>
    <col collapsed="false" customWidth="true" hidden="false" outlineLevel="0" max="4" min="4" style="1" width="74"/>
    <col collapsed="false" customWidth="true" hidden="false" outlineLevel="0" max="5" min="5" style="1" width="14"/>
    <col collapsed="false" customWidth="true" hidden="false" outlineLevel="0" max="6" min="6" style="1" width="12"/>
  </cols>
  <sheetData>
    <row r="1" customFormat="false" ht="17.25" hidden="false" customHeight="true" outlineLevel="0" collapsed="false">
      <c r="A1" s="2" t="s">
        <v>623</v>
      </c>
    </row>
    <row r="2" customFormat="false" ht="15" hidden="false" customHeight="true" outlineLevel="0" collapsed="false">
      <c r="A2" s="3" t="s">
        <v>624</v>
      </c>
    </row>
    <row r="4" customFormat="false" ht="15" hidden="false" customHeight="true" outlineLevel="0" collapsed="false">
      <c r="A4" s="4" t="s">
        <v>19</v>
      </c>
      <c r="B4" s="4" t="s">
        <v>625</v>
      </c>
      <c r="C4" s="4" t="s">
        <v>626</v>
      </c>
      <c r="D4" s="4" t="s">
        <v>627</v>
      </c>
      <c r="E4" s="4" t="s">
        <v>628</v>
      </c>
      <c r="F4" s="4" t="s">
        <v>22</v>
      </c>
    </row>
    <row r="5" customFormat="false" ht="61.5" hidden="false" customHeight="true" outlineLevel="0" collapsed="false">
      <c r="A5" s="6" t="s">
        <v>629</v>
      </c>
      <c r="B5" s="16" t="s">
        <v>630</v>
      </c>
      <c r="C5" s="16" t="s">
        <v>631</v>
      </c>
      <c r="D5" s="16" t="s">
        <v>632</v>
      </c>
      <c r="E5" s="6" t="s">
        <v>633</v>
      </c>
      <c r="F5" s="6" t="s">
        <v>421</v>
      </c>
    </row>
    <row r="6" customFormat="false" ht="61.5" hidden="false" customHeight="true" outlineLevel="0" collapsed="false">
      <c r="A6" s="6" t="s">
        <v>634</v>
      </c>
      <c r="B6" s="16" t="s">
        <v>635</v>
      </c>
      <c r="C6" s="16" t="s">
        <v>636</v>
      </c>
      <c r="D6" s="16" t="s">
        <v>637</v>
      </c>
      <c r="E6" s="6" t="s">
        <v>638</v>
      </c>
      <c r="F6" s="6" t="s">
        <v>639</v>
      </c>
    </row>
    <row r="7" customFormat="false" ht="61.5" hidden="false" customHeight="true" outlineLevel="0" collapsed="false">
      <c r="A7" s="6" t="s">
        <v>640</v>
      </c>
      <c r="B7" s="16" t="s">
        <v>641</v>
      </c>
      <c r="C7" s="16" t="s">
        <v>642</v>
      </c>
      <c r="D7" s="16" t="s">
        <v>643</v>
      </c>
      <c r="E7" s="6" t="s">
        <v>644</v>
      </c>
      <c r="F7" s="6" t="s">
        <v>421</v>
      </c>
    </row>
    <row r="8" customFormat="false" ht="61.5" hidden="false" customHeight="true" outlineLevel="0" collapsed="false">
      <c r="A8" s="6" t="s">
        <v>645</v>
      </c>
      <c r="B8" s="16" t="s">
        <v>646</v>
      </c>
      <c r="C8" s="16" t="s">
        <v>647</v>
      </c>
      <c r="D8" s="16" t="s">
        <v>648</v>
      </c>
      <c r="E8" s="6" t="s">
        <v>649</v>
      </c>
      <c r="F8" s="6" t="s">
        <v>405</v>
      </c>
    </row>
    <row r="9" customFormat="false" ht="61.5" hidden="false" customHeight="true" outlineLevel="0" collapsed="false">
      <c r="A9" s="6" t="s">
        <v>650</v>
      </c>
      <c r="B9" s="16" t="s">
        <v>651</v>
      </c>
      <c r="C9" s="16" t="s">
        <v>652</v>
      </c>
      <c r="D9" s="16" t="s">
        <v>653</v>
      </c>
      <c r="E9" s="6" t="s">
        <v>654</v>
      </c>
      <c r="F9" s="6" t="s">
        <v>421</v>
      </c>
    </row>
    <row r="10" customFormat="false" ht="61.5" hidden="false" customHeight="true" outlineLevel="0" collapsed="false">
      <c r="A10" s="6" t="s">
        <v>655</v>
      </c>
      <c r="B10" s="16" t="s">
        <v>651</v>
      </c>
      <c r="C10" s="16" t="s">
        <v>656</v>
      </c>
      <c r="D10" s="16" t="s">
        <v>657</v>
      </c>
      <c r="E10" s="6" t="s">
        <v>658</v>
      </c>
      <c r="F10" s="6" t="s">
        <v>421</v>
      </c>
    </row>
    <row r="11" customFormat="false" ht="61.5" hidden="false" customHeight="true" outlineLevel="0" collapsed="false">
      <c r="A11" s="6" t="s">
        <v>659</v>
      </c>
      <c r="B11" s="16" t="s">
        <v>660</v>
      </c>
      <c r="C11" s="16" t="s">
        <v>661</v>
      </c>
      <c r="D11" s="16" t="s">
        <v>662</v>
      </c>
      <c r="E11" s="6" t="s">
        <v>663</v>
      </c>
      <c r="F11" s="6" t="s">
        <v>639</v>
      </c>
    </row>
    <row r="12" customFormat="false" ht="61.5" hidden="false" customHeight="true" outlineLevel="0" collapsed="false">
      <c r="A12" s="6" t="s">
        <v>664</v>
      </c>
      <c r="B12" s="16" t="s">
        <v>665</v>
      </c>
      <c r="C12" s="16" t="s">
        <v>666</v>
      </c>
      <c r="D12" s="16" t="s">
        <v>667</v>
      </c>
      <c r="E12" s="6" t="s">
        <v>668</v>
      </c>
      <c r="F12" s="6" t="s">
        <v>421</v>
      </c>
    </row>
    <row r="13" customFormat="false" ht="34.5" hidden="false" customHeight="true" outlineLevel="0" collapsed="false">
      <c r="A13" s="19" t="s">
        <v>669</v>
      </c>
      <c r="B13" s="19" t="s">
        <v>660</v>
      </c>
      <c r="C13" s="16" t="s">
        <v>670</v>
      </c>
      <c r="D13" s="16" t="s">
        <v>671</v>
      </c>
      <c r="E13" s="19" t="s">
        <v>672</v>
      </c>
      <c r="F13" s="19" t="s">
        <v>421</v>
      </c>
    </row>
    <row r="14" customFormat="false" ht="23.25" hidden="false" customHeight="true" outlineLevel="0" collapsed="false">
      <c r="A14" s="19" t="s">
        <v>673</v>
      </c>
      <c r="B14" s="19" t="s">
        <v>665</v>
      </c>
      <c r="C14" s="16" t="s">
        <v>674</v>
      </c>
      <c r="D14" s="16" t="s">
        <v>675</v>
      </c>
      <c r="E14" s="19" t="s">
        <v>676</v>
      </c>
      <c r="F14" s="19" t="s">
        <v>421</v>
      </c>
    </row>
    <row r="15" customFormat="false" ht="23.25" hidden="false" customHeight="true" outlineLevel="0" collapsed="false">
      <c r="A15" s="19" t="s">
        <v>677</v>
      </c>
      <c r="B15" s="19" t="s">
        <v>678</v>
      </c>
      <c r="C15" s="16" t="s">
        <v>679</v>
      </c>
      <c r="D15" s="16" t="s">
        <v>680</v>
      </c>
      <c r="E15" s="19" t="s">
        <v>681</v>
      </c>
      <c r="F15" s="19" t="s">
        <v>421</v>
      </c>
    </row>
    <row r="16" customFormat="false" ht="34.5" hidden="false" customHeight="true" outlineLevel="0" collapsed="false">
      <c r="A16" s="19" t="s">
        <v>682</v>
      </c>
      <c r="B16" s="19" t="s">
        <v>630</v>
      </c>
      <c r="C16" s="16" t="s">
        <v>683</v>
      </c>
      <c r="D16" s="16" t="s">
        <v>684</v>
      </c>
      <c r="E16" s="19" t="s">
        <v>685</v>
      </c>
      <c r="F16" s="19" t="s">
        <v>421</v>
      </c>
    </row>
    <row r="17" customFormat="false" ht="34.5" hidden="false" customHeight="true" outlineLevel="0" collapsed="false">
      <c r="A17" s="19" t="s">
        <v>686</v>
      </c>
      <c r="B17" s="19" t="s">
        <v>651</v>
      </c>
      <c r="C17" s="16" t="s">
        <v>687</v>
      </c>
      <c r="D17" s="16" t="s">
        <v>688</v>
      </c>
      <c r="E17" s="19" t="s">
        <v>689</v>
      </c>
      <c r="F17" s="19" t="s">
        <v>421</v>
      </c>
    </row>
    <row r="18" customFormat="false" ht="23.25" hidden="false" customHeight="true" outlineLevel="0" collapsed="false">
      <c r="A18" s="19" t="s">
        <v>690</v>
      </c>
      <c r="B18" s="19" t="s">
        <v>660</v>
      </c>
      <c r="C18" s="16" t="s">
        <v>691</v>
      </c>
      <c r="D18" s="16" t="s">
        <v>692</v>
      </c>
      <c r="E18" s="19" t="s">
        <v>693</v>
      </c>
      <c r="F18" s="19" t="s">
        <v>421</v>
      </c>
    </row>
    <row r="19" customFormat="false" ht="34.5" hidden="false" customHeight="true" outlineLevel="0" collapsed="false">
      <c r="A19" s="19" t="s">
        <v>694</v>
      </c>
      <c r="B19" s="19" t="s">
        <v>695</v>
      </c>
      <c r="C19" s="16" t="s">
        <v>696</v>
      </c>
      <c r="D19" s="16" t="s">
        <v>697</v>
      </c>
      <c r="E19" s="19" t="s">
        <v>698</v>
      </c>
      <c r="F19" s="19" t="s">
        <v>421</v>
      </c>
    </row>
    <row r="20" customFormat="false" ht="34.5" hidden="false" customHeight="true" outlineLevel="0" collapsed="false">
      <c r="A20" s="19" t="s">
        <v>699</v>
      </c>
      <c r="B20" s="19" t="s">
        <v>700</v>
      </c>
      <c r="C20" s="16" t="s">
        <v>701</v>
      </c>
      <c r="D20" s="16" t="s">
        <v>702</v>
      </c>
      <c r="E20" s="19" t="s">
        <v>703</v>
      </c>
      <c r="F20" s="19" t="s">
        <v>639</v>
      </c>
    </row>
    <row r="21" customFormat="false" ht="45.75" hidden="false" customHeight="true" outlineLevel="0" collapsed="false">
      <c r="A21" s="19" t="s">
        <v>704</v>
      </c>
      <c r="B21" s="19" t="s">
        <v>705</v>
      </c>
      <c r="C21" s="16" t="s">
        <v>706</v>
      </c>
      <c r="D21" s="16" t="s">
        <v>707</v>
      </c>
      <c r="E21" s="19" t="s">
        <v>708</v>
      </c>
      <c r="F21" s="19" t="s">
        <v>421</v>
      </c>
    </row>
  </sheetData>
  <dataValidations count="1">
    <dataValidation allowBlank="true" errorStyle="stop" operator="between" showDropDown="false" showErrorMessage="false" showInputMessage="false" sqref="F5:F12" type="list">
      <formula1>"Open,Addressed,Verified"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2026-08-13T13:18:08Z</dcterms:created>
  <dc:creator>openpyxl</dc:creator>
  <dc:description/>
  <dc:language>en-US</dc:language>
  <cp:lastModifiedBy/>
  <dcterms:modified xsi:type="dcterms:W3CDTF">2026-08-22T05:10:21Z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