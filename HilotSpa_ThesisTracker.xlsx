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asks" sheetId="2" state="visible" r:id="rId4"/>
    <sheet name="Bugs" sheetId="3" state="visible" r:id="rId5"/>
    <sheet name="Defense Risks" sheetId="4" state="visible" r:id="rId6"/>
  </sheets>
  <definedNames>
    <definedName function="false" hidden="true" localSheetId="2" name="_xlnm._FilterDatabase" vbProcedure="false">Bugs!$A$3:$G$27</definedName>
    <definedName function="false" hidden="true" localSheetId="1" name="_xlnm._FilterDatabase" vbProcedure="false">Tasks!$A$4:$G$44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<sst xmlns="http://schemas.openxmlformats.org/spreadsheetml/2006/main" count="493" uniqueCount="322">
  <si>
    <t xml:space="preserve">HilotSpa — Progress Summary</t>
  </si>
  <si>
    <t xml:space="preserve">All figures are live formulas over the Tasks sheet.</t>
  </si>
  <si>
    <t xml:space="preserve">Sprint</t>
  </si>
  <si>
    <t xml:space="preserve">Total</t>
  </si>
  <si>
    <t xml:space="preserve">Done</t>
  </si>
  <si>
    <t xml:space="preserve">In Progress</t>
  </si>
  <si>
    <t xml:space="preserve">Not Started</t>
  </si>
  <si>
    <t xml:space="preserve">Blocked</t>
  </si>
  <si>
    <t xml:space="preserve">% Complete</t>
  </si>
  <si>
    <t xml:space="preserve">Sprint 0</t>
  </si>
  <si>
    <t xml:space="preserve">Sprint 1</t>
  </si>
  <si>
    <t xml:space="preserve">Sprint 2</t>
  </si>
  <si>
    <t xml:space="preserve">Sprint 3</t>
  </si>
  <si>
    <t xml:space="preserve">Sprint 4</t>
  </si>
  <si>
    <t xml:space="preserve">TOTAL</t>
  </si>
  <si>
    <t xml:space="preserve">Open bugs</t>
  </si>
  <si>
    <t xml:space="preserve">Critical open</t>
  </si>
  <si>
    <t xml:space="preserve">HilotSpa — Task Tracker</t>
  </si>
  <si>
    <t xml:space="preserve">Statuses: Not Started / In Progress / Done / Blocked / N/A  (dropdown in column E)</t>
  </si>
  <si>
    <t xml:space="preserve">ID</t>
  </si>
  <si>
    <t xml:space="preserve">Task</t>
  </si>
  <si>
    <t xml:space="preserve">Detail</t>
  </si>
  <si>
    <t xml:space="preserve">Status</t>
  </si>
  <si>
    <t xml:space="preserve">Owner</t>
  </si>
  <si>
    <t xml:space="preserve">Notes</t>
  </si>
  <si>
    <t xml:space="preserve">0.1</t>
  </si>
  <si>
    <t xml:space="preserve">Fix trivial model bugs</t>
  </si>
  <si>
    <t xml:space="preserve">FormsRepository return types, User.demographics OneToOne, massage table typo, durationMinute, compose.yaml space</t>
  </si>
  <si>
    <t xml:space="preserve">Liodoq</t>
  </si>
  <si>
    <t xml:space="preserve">Reviewed and confirmed correct.</t>
  </si>
  <si>
    <t xml:space="preserve">0.2</t>
  </si>
  <si>
    <t xml:space="preserve">Invert Forms &lt;-&gt; PatientIntake to one-to-many</t>
  </si>
  <si>
    <t xml:space="preserve">A form must hold MANY pain points. Touches Forms, PatientIntake, FormsModel, both repositories, FormsServiceImpl, FormsTransformImpl.</t>
  </si>
  <si>
    <t xml:space="preserve">Closed. B6-B11 all fixed. Aggregate-root design: Forms is the only door into pain points.</t>
  </si>
  <si>
    <t xml:space="preserve">0.3</t>
  </si>
  <si>
    <t xml:space="preserve">Migrate all primary keys to UUID</t>
  </si>
  <si>
    <t xml:space="preserve">Highest-leverage item. Integer IDs collide across branch nodes and make P2P sync impossible.</t>
  </si>
  <si>
    <t xml:space="preserve">Claude</t>
  </si>
  <si>
    <t xml:space="preserve">All 36 files migrated. Domain Integers (painScore, coords, age, height, weight, durationMinute) intentionally left as Integer.</t>
  </si>
  <si>
    <t xml:space="preserve">0.4</t>
  </si>
  <si>
    <t xml:space="preserve">Add security fields to User</t>
  </si>
  <si>
    <t xml:space="preserve">passwordHash, enabled, branch FK, role as @Enumerated enum CUSTOMER/STAFF/ADMIN.</t>
  </si>
  <si>
    <t xml:space="preserve">Prerequisite for RBAC.</t>
  </si>
  <si>
    <t xml:space="preserve">0.5</t>
  </si>
  <si>
    <t xml:space="preserve">Add the missing core entities</t>
  </si>
  <si>
    <t xml:space="preserve">Appointment, Therapist, Room, ServiceProtocol, Contraindication, AuditLog.</t>
  </si>
  <si>
    <t xml:space="preserve">Carries most of the paper's functional requirements.</t>
  </si>
  <si>
    <t xml:space="preserve">0.6</t>
  </si>
  <si>
    <t xml:space="preserve">Spring Security + JWT + RBAC</t>
  </si>
  <si>
    <t xml:space="preserve">Satisfies FR#4 and Process Rules #1 and #5. Staff restricted to their own Branch ID at query level.</t>
  </si>
  <si>
    <t xml:space="preserve">JWT_SECRET already in .env.</t>
  </si>
  <si>
    <t xml:space="preserve">0.7</t>
  </si>
  <si>
    <t xml:space="preserve">Infra: Flyway, Redis, secrets</t>
  </si>
  <si>
    <t xml:space="preserve">Flyway so every node shares an identical schema. Redis into pom.xml + compose.yaml.</t>
  </si>
  <si>
    <t xml:space="preserve">.env / .env.example / run.ps1 done. Flyway + Redis pending.</t>
  </si>
  <si>
    <t xml:space="preserve">0.8</t>
  </si>
  <si>
    <t xml:space="preserve">Scaffold the Angular project</t>
  </si>
  <si>
    <t xml:space="preserve">Fresh Angular app + Tailwind, wired to the backend.</t>
  </si>
  <si>
    <t xml:space="preserve">Entry point for Sprint 1.</t>
  </si>
  <si>
    <t xml:space="preserve">1.1</t>
  </si>
  <si>
    <t xml:space="preserve">2D body map component (front + back SVG)</t>
  </si>
  <si>
    <t xml:space="preserve">Angular canvas/SVG. Paper Scope: '2D Visualization of front and back body parts'.</t>
  </si>
  <si>
    <t xml:space="preserve">FR#1</t>
  </si>
  <si>
    <t xml:space="preserve">1.2</t>
  </si>
  <si>
    <t xml:space="preserve">Tap-to-place pain markers with severity</t>
  </si>
  <si>
    <t xml:space="preserve">Marker stores bodyView, anatomicalRegion, x, y, painScore 1-10.</t>
  </si>
  <si>
    <t xml:space="preserve">1.3</t>
  </si>
  <si>
    <t xml:space="preserve">25-item complaint checklist</t>
  </si>
  <si>
    <t xml:space="preserve">Neck Pain ... TMJ Disorder + Others. Exact list from paper Scope + Appendix A.</t>
  </si>
  <si>
    <t xml:space="preserve">Must match the paper list exactly.</t>
  </si>
  <si>
    <t xml:space="preserve">1.4</t>
  </si>
  <si>
    <t xml:space="preserve">Pain vs Leisure fork on first screen</t>
  </si>
  <si>
    <t xml:space="preserve">Leisure path completes an assessment in one tap. Resolves the Process Rule #2 contradiction.</t>
  </si>
  <si>
    <t xml:space="preserve">See Defense Risks R2.</t>
  </si>
  <si>
    <t xml:space="preserve">1.5</t>
  </si>
  <si>
    <t xml:space="preserve">Age-inclusive styling</t>
  </si>
  <si>
    <t xml:space="preserve">High contrast, &gt;=18px base font, &gt;=44px touch targets, warm palette, simplified navigation.</t>
  </si>
  <si>
    <t xml:space="preserve">NFR#4, cites [19] and [36]. Will be judged.</t>
  </si>
  <si>
    <t xml:space="preserve">1.6</t>
  </si>
  <si>
    <t xml:space="preserve">Demographics capture screen</t>
  </si>
  <si>
    <t xml:space="preserve">Age, sex, status, height, weight, birthdate. Mirrors the paper intake form.</t>
  </si>
  <si>
    <t xml:space="preserve">1.7</t>
  </si>
  <si>
    <t xml:space="preserve">Submit form + pain points to backend</t>
  </si>
  <si>
    <t xml:space="preserve">Single POST carrying form and its painPoints array.</t>
  </si>
  <si>
    <t xml:space="preserve">2.1</t>
  </si>
  <si>
    <t xml:space="preserve">Redis temporary resource locking</t>
  </si>
  <si>
    <t xml:space="preserve">Lock therapist + room + slot with a TTL while booking is in progress.</t>
  </si>
  <si>
    <t xml:space="preserve">Process Rule #4.</t>
  </si>
  <si>
    <t xml:space="preserve">2.2</t>
  </si>
  <si>
    <t xml:space="preserve">n8n workflow scaffolding</t>
  </si>
  <si>
    <t xml:space="preserve">Assemble prompt -&gt; call Gemini -&gt; validate response -&gt; write booking.</t>
  </si>
  <si>
    <t xml:space="preserve">Table 6.</t>
  </si>
  <si>
    <t xml:space="preserve">2.3</t>
  </si>
  <si>
    <t xml:space="preserve">Gemini call with constrained structured output</t>
  </si>
  <si>
    <t xml:space="preserve">recommendedServiceId is an enum of real catalog UUIDs so the model cannot invent a service.</t>
  </si>
  <si>
    <t xml:space="preserve">See Defense Risks R3.</t>
  </si>
  <si>
    <t xml:space="preserve">2.4</t>
  </si>
  <si>
    <t xml:space="preserve">Contraindication filter applied BEFORE the AI call</t>
  </si>
  <si>
    <t xml:space="preserve">Deterministic table authored by the spa. AI only ever sees an already-safe list.</t>
  </si>
  <si>
    <t xml:space="preserve">See Defense Risks R4.</t>
  </si>
  <si>
    <t xml:space="preserve">2.5</t>
  </si>
  <si>
    <t xml:space="preserve">Chat UI</t>
  </si>
  <si>
    <t xml:space="preserve">Task-first, short structured replies, not chatty. Supported by [10].</t>
  </si>
  <si>
    <t xml:space="preserve">2.6</t>
  </si>
  <si>
    <t xml:space="preserve">Virtual voice + subtitles</t>
  </si>
  <si>
    <t xml:space="preserve">Web Speech API: SpeechSynthesis out, SpeechRecognition in.</t>
  </si>
  <si>
    <t xml:space="preserve">Explicitly in the paper Scope. Easy to forget.</t>
  </si>
  <si>
    <t xml:space="preserve">2.7</t>
  </si>
  <si>
    <t xml:space="preserve">Conversational booking creates an Appointment</t>
  </si>
  <si>
    <t xml:space="preserve">Negotiate slot against branch resources, then confirm and persist.</t>
  </si>
  <si>
    <t xml:space="preserve">FR#2</t>
  </si>
  <si>
    <t xml:space="preserve">2.8</t>
  </si>
  <si>
    <t xml:space="preserve">Taglish / code-switch handling</t>
  </si>
  <si>
    <t xml:space="preserve">System prompt instructs code-switched Filipino-English. Demo this at defense.</t>
  </si>
  <si>
    <t xml:space="preserve">Ties reference [35] to the artifact.</t>
  </si>
  <si>
    <t xml:space="preserve">3.1</t>
  </si>
  <si>
    <t xml:space="preserve">Append-only sync_log table</t>
  </si>
  <si>
    <t xml:space="preserve">nodeId + monotonic sequenceNo per node. Peers pull everything after seq N.</t>
  </si>
  <si>
    <t xml:space="preserve">Requires UUID keys (0.3).</t>
  </si>
  <si>
    <t xml:space="preserve">3.2</t>
  </si>
  <si>
    <t xml:space="preserve">Node registry</t>
  </si>
  <si>
    <t xml:space="preserve">Each node knows its peers' addresses and last-seen sequence numbers.</t>
  </si>
  <si>
    <t xml:space="preserve">3.3</t>
  </si>
  <si>
    <t xml:space="preserve">Pull-based gossip between peers</t>
  </si>
  <si>
    <t xml:space="preserve">Broadcast local changes, pull remote changes, apply to read-only replicas.</t>
  </si>
  <si>
    <t xml:space="preserve">FR#3</t>
  </si>
  <si>
    <t xml:space="preserve">3.4</t>
  </si>
  <si>
    <t xml:space="preserve">Enforce single-writer-per-partition</t>
  </si>
  <si>
    <t xml:space="preserve">A node may only write resources it owns. Makes split-brain structurally impossible.</t>
  </si>
  <si>
    <t xml:space="preserve">See Defense Risks R1. THE core architectural argument.</t>
  </si>
  <si>
    <t xml:space="preserve">3.5</t>
  </si>
  <si>
    <t xml:space="preserve">Admin aggregated dashboard</t>
  </si>
  <si>
    <t xml:space="preserve">Global view across all branch nodes.</t>
  </si>
  <si>
    <t xml:space="preserve">FR#4</t>
  </si>
  <si>
    <t xml:space="preserve">3.6</t>
  </si>
  <si>
    <t xml:space="preserve">Context switch into a specific branch</t>
  </si>
  <si>
    <t xml:space="preserve">Admin loads a branch's local dashboard.</t>
  </si>
  <si>
    <t xml:space="preserve">Paper Figure 3.3.</t>
  </si>
  <si>
    <t xml:space="preserve">3.7</t>
  </si>
  <si>
    <t xml:space="preserve">Offline mode + visible status banner</t>
  </si>
  <si>
    <t xml:space="preserve">Branch keeps booking its own resources with no internet. Syncs on reconnect.</t>
  </si>
  <si>
    <t xml:space="preserve">NFR#1. Rehearse the unplug-the-cable demo.</t>
  </si>
  <si>
    <t xml:space="preserve">3.8</t>
  </si>
  <si>
    <t xml:space="preserve">Global configuration broadcast</t>
  </si>
  <si>
    <t xml:space="preserve">Admin edits service menu / pricing, broadcast to all nodes.</t>
  </si>
  <si>
    <t xml:space="preserve">FR#5</t>
  </si>
  <si>
    <t xml:space="preserve">3.9</t>
  </si>
  <si>
    <t xml:space="preserve">Audit log generation</t>
  </si>
  <si>
    <t xml:space="preserve">Per-node audit trail, aggregated for the admin.</t>
  </si>
  <si>
    <t xml:space="preserve">3.10</t>
  </si>
  <si>
    <t xml:space="preserve">Stand up a SECOND node for the demo</t>
  </si>
  <si>
    <t xml:space="preserve">Second laptop or VM on the same LAN. You cannot demo decentralization with one node.</t>
  </si>
  <si>
    <t xml:space="preserve">Research locale names only one branch. See Defense Risks R5.</t>
  </si>
  <si>
    <t xml:space="preserve">4.1</t>
  </si>
  <si>
    <t xml:space="preserve">Pre-implementation baseline timing</t>
  </si>
  <si>
    <t xml:space="preserve">Stopwatch ~20 real clients on the manual workflow BEFORE deployment.</t>
  </si>
  <si>
    <t xml:space="preserve">Paper claims 10-15 min manual intake. Prove it.</t>
  </si>
  <si>
    <t xml:space="preserve">4.2</t>
  </si>
  <si>
    <t xml:space="preserve">TAM instrument (validated item set)</t>
  </si>
  <si>
    <t xml:space="preserve">Perceived Ease of Use + Perceived Usefulness, 5-point Likert. Use Davis/Venkatesh items and cite.</t>
  </si>
  <si>
    <t xml:space="preserve">4.3</t>
  </si>
  <si>
    <t xml:space="preserve">CUQ instrument (real 16 items)</t>
  </si>
  <si>
    <t xml:space="preserve">Holmes et al. 16 alternating positive/negative items with the official 0-100 scoring formula.</t>
  </si>
  <si>
    <t xml:space="preserve">Do not invent your own questions.</t>
  </si>
  <si>
    <t xml:space="preserve">4.4</t>
  </si>
  <si>
    <t xml:space="preserve">Technical &amp; Operational Checklist</t>
  </si>
  <si>
    <t xml:space="preserve">AI-vs-therapist agreement rate, 0 out-of-catalog outputs, sync latency, offline recovery time.</t>
  </si>
  <si>
    <t xml:space="preserve">This is how you measure 'AI reliability'. See Defense Risks R6.</t>
  </si>
  <si>
    <t xml:space="preserve">4.5</t>
  </si>
  <si>
    <t xml:space="preserve">Run UAT with customers, staff, admin</t>
  </si>
  <si>
    <t xml:space="preserve">Non-probability sampling across the three role groups.</t>
  </si>
  <si>
    <t xml:space="preserve">4.6</t>
  </si>
  <si>
    <t xml:space="preserve">Weighted mean + frequency analysis</t>
  </si>
  <si>
    <t xml:space="preserve">Apply the paper's Likert interpretation guide.</t>
  </si>
  <si>
    <t xml:space="preserve">4.7</t>
  </si>
  <si>
    <t xml:space="preserve">Write Chapter IV</t>
  </si>
  <si>
    <t xml:space="preserve">Before/after tables, TAM/CUQ results, checklist results.</t>
  </si>
  <si>
    <t xml:space="preserve">HilotSpa — Bug &amp; Finding Log</t>
  </si>
  <si>
    <t xml:space="preserve">Where</t>
  </si>
  <si>
    <t xml:space="preserve">Problem</t>
  </si>
  <si>
    <t xml:space="preserve">Severity</t>
  </si>
  <si>
    <t xml:space="preserve">B1</t>
  </si>
  <si>
    <t xml:space="preserve">FormsRepository</t>
  </si>
  <si>
    <t xml:space="preserve">findBy* returned List&lt;Repository&gt; instead of List&lt;Forms&gt;</t>
  </si>
  <si>
    <t xml:space="preserve">Critical</t>
  </si>
  <si>
    <t xml:space="preserve">Fixed</t>
  </si>
  <si>
    <t xml:space="preserve">Would fail at application startup.</t>
  </si>
  <si>
    <t xml:space="preserve">B2</t>
  </si>
  <si>
    <t xml:space="preserve">User.java</t>
  </si>
  <si>
    <t xml:space="preserve">@OneToOne mapped to a List&lt;Demographics&gt;</t>
  </si>
  <si>
    <t xml:space="preserve">B3</t>
  </si>
  <si>
    <t xml:space="preserve">Massage.java</t>
  </si>
  <si>
    <t xml:space="preserve">Table name typo "masasage"</t>
  </si>
  <si>
    <t xml:space="preserve">Minor</t>
  </si>
  <si>
    <t xml:space="preserve">B4</t>
  </si>
  <si>
    <t xml:space="preserve">LocalTime used to represent a duration</t>
  </si>
  <si>
    <t xml:space="preserve">Major</t>
  </si>
  <si>
    <t xml:space="preserve">Now durationMinute.</t>
  </si>
  <si>
    <t xml:space="preserve">B5</t>
  </si>
  <si>
    <t xml:space="preserve">compose.yaml</t>
  </si>
  <si>
    <t xml:space="preserve">Leading space parsed into the JDBC URL</t>
  </si>
  <si>
    <t xml:space="preserve">B6</t>
  </si>
  <si>
    <t xml:space="preserve">Forms / PatientIntake</t>
  </si>
  <si>
    <t xml:space="preserve">Relationship inverted; capped every form at one pain point</t>
  </si>
  <si>
    <t xml:space="preserve">Entities and models now correct.</t>
  </si>
  <si>
    <t xml:space="preserve">B7</t>
  </si>
  <si>
    <t xml:space="preserve">Forms.java</t>
  </si>
  <si>
    <t xml:space="preserve">OLD @ManyToOne PatientIntake field was never deleted</t>
  </si>
  <si>
    <t xml:space="preserve">Fixed. Circular NOT NULL FK resolved.</t>
  </si>
  <si>
    <t xml:space="preserve">B8</t>
  </si>
  <si>
    <t xml:space="preserve">findByPatientIntakeId still present</t>
  </si>
  <si>
    <t xml:space="preserve">Will not resolve once B7 is fixed. Delete the method.</t>
  </si>
  <si>
    <t xml:space="preserve">B9</t>
  </si>
  <si>
    <t xml:space="preserve">PatientIntakeTransformImpl</t>
  </si>
  <si>
    <t xml:space="preserve">bodyView not mapped in either direction</t>
  </si>
  <si>
    <t xml:space="preserve">Body view was silently lost on every save and read. Mapped both directions.</t>
  </si>
  <si>
    <t xml:space="preserve">B10</t>
  </si>
  <si>
    <t xml:space="preserve">FormsTransformImpl</t>
  </si>
  <si>
    <t xml:space="preserve">formsModel.setId() never called</t>
  </si>
  <si>
    <t xml:space="preserve">Frontend gets no form ID back.</t>
  </si>
  <si>
    <t xml:space="preserve">B11</t>
  </si>
  <si>
    <t xml:space="preserve">PatientIntake service/controller</t>
  </si>
  <si>
    <t xml:space="preserve">create + update endpoints still exist</t>
  </si>
  <si>
    <t xml:space="preserve">Done. createPatientIntake/updatePatientIntake removed from service, impl, and controller.</t>
  </si>
  <si>
    <t xml:space="preserve">B12</t>
  </si>
  <si>
    <t xml:space="preserve">-</t>
  </si>
  <si>
    <t xml:space="preserve">MassageRepository</t>
  </si>
  <si>
    <t xml:space="preserve">findByPrice returns Optional but price is not unique</t>
  </si>
  <si>
    <t xml:space="preserve">findByPrice removed entirely; lookup is now by UUID id via JpaRepository.</t>
  </si>
  <si>
    <t xml:space="preserve">B13</t>
  </si>
  <si>
    <t xml:space="preserve">All entities</t>
  </si>
  <si>
    <t xml:space="preserve">Integer IDENTITY primary keys</t>
  </si>
  <si>
    <t xml:space="preserve">UUID primary keys across all entities. GenerationType.UUID.</t>
  </si>
  <si>
    <t xml:space="preserve">B14</t>
  </si>
  <si>
    <t xml:space="preserve">Whole backend</t>
  </si>
  <si>
    <t xml:space="preserve">No Spring Security, no authentication at all</t>
  </si>
  <si>
    <t xml:space="preserve">Open</t>
  </si>
  <si>
    <t xml:space="preserve">FR#4 and Process Rules #1/#5 are unimplemented.</t>
  </si>
  <si>
    <t xml:space="preserve">B15</t>
  </si>
  <si>
    <t xml:space="preserve">git history</t>
  </si>
  <si>
    <t xml:space="preserve">DB password admin1234 committed</t>
  </si>
  <si>
    <t xml:space="preserve">Mitigated</t>
  </si>
  <si>
    <t xml:space="preserve">.env now gitignored. Change the actual DB password.</t>
  </si>
  <si>
    <t xml:space="preserve">B16</t>
  </si>
  <si>
    <t xml:space="preserve">Repo</t>
  </si>
  <si>
    <t xml:space="preserve">CRLF line endings make every diff unreadable</t>
  </si>
  <si>
    <t xml:space="preserve">Fixed: .gitattributes now has * text=auto eol=lf.</t>
  </si>
  <si>
    <t xml:space="preserve">B17</t>
  </si>
  <si>
    <t xml:space="preserve">FormsServiceImpl</t>
  </si>
  <si>
    <t xml:space="preserve">Unused PatientIntakeRepository autowire + import</t>
  </si>
  <si>
    <t xml:space="preserve">Removed during 0.3 sweep.</t>
  </si>
  <si>
    <t xml:space="preserve">B18</t>
  </si>
  <si>
    <t xml:space="preserve">updateForm does not update painPoints</t>
  </si>
  <si>
    <t xml:space="preserve">Fixed: updateForm now calls replacePainPoints(); orphanRemoval deletes dropped markers.</t>
  </si>
  <si>
    <t xml:space="preserve">B19</t>
  </si>
  <si>
    <t xml:space="preserve">src/test</t>
  </si>
  <si>
    <t xml:space="preserve">BackendApplicationTests deleted; zero tests exist</t>
  </si>
  <si>
    <t xml:space="preserve">B20</t>
  </si>
  <si>
    <t xml:space="preserve">.git</t>
  </si>
  <si>
    <t xml:space="preserve">Stale index.lock left by the review bridge</t>
  </si>
  <si>
    <t xml:space="preserve">Fixed: lock cleared.</t>
  </si>
  <si>
    <t xml:space="preserve">B21</t>
  </si>
  <si>
    <t xml:space="preserve">Branch/Forms + User/Demographics</t>
  </si>
  <si>
    <t xml:space="preserve">Bidirectional relationships with no @ToString.Exclude / @EqualsAndHashCode.Exclude</t>
  </si>
  <si>
    <t xml:space="preserve">Fixed: excludes added to all 5 bidirectional fields.</t>
  </si>
  <si>
    <t xml:space="preserve">B22</t>
  </si>
  <si>
    <t xml:space="preserve">Branch.java</t>
  </si>
  <si>
    <t xml:space="preserve">@OneToMany(cascade = ALL) on Branch.forms</t>
  </si>
  <si>
    <t xml:space="preserve">Fixed: cascade removed from Branch.forms. Patient records survive branch deletion.</t>
  </si>
  <si>
    <t xml:space="preserve">B23</t>
  </si>
  <si>
    <t xml:space="preserve">Demographics.java</t>
  </si>
  <si>
    <t xml:space="preserve">@JoinColumn(name = "usersId") is camelCase; Forms uses users_id</t>
  </si>
  <si>
    <t xml:space="preserve">Fixed: renamed to users_id.</t>
  </si>
  <si>
    <t xml:space="preserve">B24</t>
  </si>
  <si>
    <t xml:space="preserve">MassageController</t>
  </si>
  <si>
    <t xml:space="preserve">@GetMapping("/{price}") bound to @PathVariable("massagePrice"); @PutMapping("/{id}") bound to massageId</t>
  </si>
  <si>
    <t xml:space="preserve">Name mismatches would fail at startup. Endpoints rebuilt around /{id}.</t>
  </si>
  <si>
    <t xml:space="preserve">HilotSpa — Defense Risk Register</t>
  </si>
  <si>
    <t xml:space="preserve">The paper cannot be edited. These are the contradictions a panelist may find, and how the BUILD resolves each one.</t>
  </si>
  <si>
    <t xml:space="preserve">Area</t>
  </si>
  <si>
    <t xml:space="preserve">Risk / Contradiction in the frozen paper</t>
  </si>
  <si>
    <t xml:space="preserve">Engineered resolution</t>
  </si>
  <si>
    <t xml:space="preserve">Where it lands</t>
  </si>
  <si>
    <t xml:space="preserve">R1</t>
  </si>
  <si>
    <t xml:space="preserve">Architecture</t>
  </si>
  <si>
    <t xml:space="preserve">Offline survival (NFR#1) and guaranteed no double-booking (Process Rule #4) are contradictory under CAP.</t>
  </si>
  <si>
    <t xml:space="preserve">Partition write authority by physical resource ownership. A therapist/room belongs to exactly one branch, so cross-branch conflict cannot exist. Each node is sole writer for its own resources; peers hold read-only replicas.</t>
  </si>
  <si>
    <t xml:space="preserve">Sprint 3.4</t>
  </si>
  <si>
    <t xml:space="preserve">R2</t>
  </si>
  <si>
    <t xml:space="preserve">Requirements</t>
  </si>
  <si>
    <t xml:space="preserve">Process Rule #2 locks the chatbot until pre-assessment completes, but Significance promises leisure clients can bypass the forms.</t>
  </si>
  <si>
    <t xml:space="preserve">First screen forks: 'I have pain' vs 'I'm here to relax'. The leisure path still WRITES a completed assessment record in one tap. The gate is on completion, not length.</t>
  </si>
  <si>
    <t xml:space="preserve">Sprint 1.4</t>
  </si>
  <si>
    <t xml:space="preserve">R3</t>
  </si>
  <si>
    <t xml:space="preserve">AI Integrity</t>
  </si>
  <si>
    <t xml:space="preserve">Paper claims n8n is a 'strict filtering layer' preventing hallucinated medical advice. n8n is an orchestrator and does no such thing by itself.</t>
  </si>
  <si>
    <t xml:space="preserve">Give n8n three concrete jobs: (1) assemble prompt from DB only, (2) constrained structured output where serviceId is an enum of real catalog IDs, (3) post-validate against the catalog and reject anything else.</t>
  </si>
  <si>
    <t xml:space="preserve">Sprint 2.3</t>
  </si>
  <si>
    <t xml:space="preserve">R4</t>
  </si>
  <si>
    <t xml:space="preserve">Ethics / Scope</t>
  </si>
  <si>
    <t xml:space="preserve">Process Rule #3 excludes contraindicated services, but the Delimitation says no medical advice. Excluding a service on health grounds IS a clinical decision.</t>
  </si>
  <si>
    <t xml:space="preserve">Contraindication rules authored and signed off by the spa's bone setter, stored in a DB table, applied in Java BEFORE the AI is called. Put the signed table in the appendix.</t>
  </si>
  <si>
    <t xml:space="preserve">Sprint 2.4</t>
  </si>
  <si>
    <t xml:space="preserve">R5</t>
  </si>
  <si>
    <t xml:space="preserve">Evaluation</t>
  </si>
  <si>
    <t xml:space="preserve">Research locale names only one branch, but the decentralization claim needs at least two nodes.</t>
  </si>
  <si>
    <t xml:space="preserve">Run a second node on a laptop or VM on the same LAN. Demo sync by physically unplugging the network. Rehearse it.</t>
  </si>
  <si>
    <t xml:space="preserve">Sprint 3.10</t>
  </si>
  <si>
    <t xml:space="preserve">R6</t>
  </si>
  <si>
    <t xml:space="preserve">Objective 4 says evaluate 'AI reliability', but CUQ measures perceived usability, not reliability.</t>
  </si>
  <si>
    <t xml:space="preserve">Add an objective measure to the Technical &amp; Operational Checklist: agreement rate between the AI recommendation and a therapist's blind independent recommendation over &gt;=30 trials, plus 0 out-of-catalog outputs.</t>
  </si>
  <si>
    <t xml:space="preserve">Sprint 4.4</t>
  </si>
  <si>
    <t xml:space="preserve">R7</t>
  </si>
  <si>
    <t xml:space="preserve">Scope</t>
  </si>
  <si>
    <t xml:space="preserve">Significance promises owners can monitor revenue, but the Delimitation excludes payment processing.</t>
  </si>
  <si>
    <t xml:space="preserve">Appointment snapshots the service price at booking. Staff mark PAID_AT_COUNTER. Revenue = sum of completed appointments. No payment processing involved.</t>
  </si>
  <si>
    <t xml:space="preserve">Sprint 0.5</t>
  </si>
  <si>
    <t xml:space="preserve">R8</t>
  </si>
  <si>
    <t xml:space="preserve">Presentation</t>
  </si>
  <si>
    <t xml:space="preserve">Figures 8.1 and 8.2 are both captioned 'Sprint 2'. Two tables are both numbered as Gap Analysis but the TOC lists one. References [12] and [34] are the same paper.</t>
  </si>
  <si>
    <t xml:space="preserve">Cosmetic. Fix if the adviser still permits caption-level edits; otherwise be ready to acknowledge it.</t>
  </si>
  <si>
    <t xml:space="preserve">Paper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</si>
</sst>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5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5F"/>
        <bgColor rgb="FF333333"/>
      </patternFill>
    </fill>
    <fill>
      <patternFill patternType="solid">
        <fgColor rgb="FFDCE9EF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4E5F"/>
          <bgColor rgb="FF000000"/>
        </patternFill>
      </fill>
    </dxf>
    <dxf>
      <fill>
        <patternFill patternType="solid">
          <fgColor rgb="FFDCE9E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  <sz val="1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FCC"/>
      <rgbColor rgb="FFDCE9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7" min="2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</row>
    <row r="5" customFormat="false" ht="15" hidden="false" customHeight="true" outlineLevel="0" collapsed="false">
      <c r="A5" s="5" t="s">
        <v>9</v>
      </c>
      <c r="B5" s="6" t="n">
        <f aca="false">COUNTIF(Tasks!$A$5:$A$44,$A5)</f>
        <v>8</v>
      </c>
      <c r="C5" s="6" t="n">
        <f aca="false">COUNTIFS(Tasks!$A$5:$A$44,$A5,Tasks!$E$5:$E$44,"Done")</f>
        <v>3</v>
      </c>
      <c r="D5" s="6" t="n">
        <f aca="false">COUNTIFS(Tasks!$A$5:$A$44,$A5,Tasks!$E$5:$E$44,"In Progress")</f>
        <v>1</v>
      </c>
      <c r="E5" s="6" t="n">
        <f aca="false">COUNTIFS(Tasks!$A$5:$A$44,$A5,Tasks!$E$5:$E$44,"Not Started")</f>
        <v>4</v>
      </c>
      <c r="F5" s="6" t="n">
        <f aca="false">COUNTIFS(Tasks!$A$5:$A$44,$A5,Tasks!$E$5:$E$44,"Blocked")</f>
        <v>0</v>
      </c>
      <c r="G5" s="7" t="n">
        <f aca="false">IFERROR($C5/$B5,0)</f>
        <v>0.375</v>
      </c>
    </row>
    <row r="6" customFormat="false" ht="15" hidden="false" customHeight="true" outlineLevel="0" collapsed="false">
      <c r="A6" s="5" t="s">
        <v>10</v>
      </c>
      <c r="B6" s="6" t="n">
        <f aca="false">COUNTIF(Tasks!$A$5:$A$44,$A6)</f>
        <v>7</v>
      </c>
      <c r="C6" s="6" t="n">
        <f aca="false">COUNTIFS(Tasks!$A$5:$A$44,$A6,Tasks!$E$5:$E$44,"Done")</f>
        <v>0</v>
      </c>
      <c r="D6" s="6" t="n">
        <f aca="false">COUNTIFS(Tasks!$A$5:$A$44,$A6,Tasks!$E$5:$E$44,"In Progress")</f>
        <v>0</v>
      </c>
      <c r="E6" s="6" t="n">
        <f aca="false">COUNTIFS(Tasks!$A$5:$A$44,$A6,Tasks!$E$5:$E$44,"Not Started")</f>
        <v>7</v>
      </c>
      <c r="F6" s="6" t="n">
        <f aca="false">COUNTIFS(Tasks!$A$5:$A$44,$A6,Tasks!$E$5:$E$44,"Blocked")</f>
        <v>0</v>
      </c>
      <c r="G6" s="7" t="n">
        <f aca="false">IFERROR($C6/$B6,0)</f>
        <v>0</v>
      </c>
    </row>
    <row r="7" customFormat="false" ht="15" hidden="false" customHeight="true" outlineLevel="0" collapsed="false">
      <c r="A7" s="5" t="s">
        <v>11</v>
      </c>
      <c r="B7" s="6" t="n">
        <f aca="false">COUNTIF(Tasks!$A$5:$A$44,$A7)</f>
        <v>8</v>
      </c>
      <c r="C7" s="6" t="n">
        <f aca="false">COUNTIFS(Tasks!$A$5:$A$44,$A7,Tasks!$E$5:$E$44,"Done")</f>
        <v>0</v>
      </c>
      <c r="D7" s="6" t="n">
        <f aca="false">COUNTIFS(Tasks!$A$5:$A$44,$A7,Tasks!$E$5:$E$44,"In Progress")</f>
        <v>0</v>
      </c>
      <c r="E7" s="6" t="n">
        <f aca="false">COUNTIFS(Tasks!$A$5:$A$44,$A7,Tasks!$E$5:$E$44,"Not Started")</f>
        <v>8</v>
      </c>
      <c r="F7" s="6" t="n">
        <f aca="false">COUNTIFS(Tasks!$A$5:$A$44,$A7,Tasks!$E$5:$E$44,"Blocked")</f>
        <v>0</v>
      </c>
      <c r="G7" s="7" t="n">
        <f aca="false">IFERROR($C7/$B7,0)</f>
        <v>0</v>
      </c>
    </row>
    <row r="8" customFormat="false" ht="15" hidden="false" customHeight="true" outlineLevel="0" collapsed="false">
      <c r="A8" s="5" t="s">
        <v>12</v>
      </c>
      <c r="B8" s="6" t="n">
        <f aca="false">COUNTIF(Tasks!$A$5:$A$44,$A8)</f>
        <v>10</v>
      </c>
      <c r="C8" s="6" t="n">
        <f aca="false">COUNTIFS(Tasks!$A$5:$A$44,$A8,Tasks!$E$5:$E$44,"Done")</f>
        <v>0</v>
      </c>
      <c r="D8" s="6" t="n">
        <f aca="false">COUNTIFS(Tasks!$A$5:$A$44,$A8,Tasks!$E$5:$E$44,"In Progress")</f>
        <v>0</v>
      </c>
      <c r="E8" s="6" t="n">
        <f aca="false">COUNTIFS(Tasks!$A$5:$A$44,$A8,Tasks!$E$5:$E$44,"Not Started")</f>
        <v>10</v>
      </c>
      <c r="F8" s="6" t="n">
        <f aca="false">COUNTIFS(Tasks!$A$5:$A$44,$A8,Tasks!$E$5:$E$44,"Blocked")</f>
        <v>0</v>
      </c>
      <c r="G8" s="7" t="n">
        <f aca="false">IFERROR($C8/$B8,0)</f>
        <v>0</v>
      </c>
    </row>
    <row r="9" customFormat="false" ht="15" hidden="false" customHeight="true" outlineLevel="0" collapsed="false">
      <c r="A9" s="5" t="s">
        <v>13</v>
      </c>
      <c r="B9" s="6" t="n">
        <f aca="false">COUNTIF(Tasks!$A$5:$A$44,$A9)</f>
        <v>7</v>
      </c>
      <c r="C9" s="6" t="n">
        <f aca="false">COUNTIFS(Tasks!$A$5:$A$44,$A9,Tasks!$E$5:$E$44,"Done")</f>
        <v>0</v>
      </c>
      <c r="D9" s="6" t="n">
        <f aca="false">COUNTIFS(Tasks!$A$5:$A$44,$A9,Tasks!$E$5:$E$44,"In Progress")</f>
        <v>0</v>
      </c>
      <c r="E9" s="6" t="n">
        <f aca="false">COUNTIFS(Tasks!$A$5:$A$44,$A9,Tasks!$E$5:$E$44,"Not Started")</f>
        <v>7</v>
      </c>
      <c r="F9" s="6" t="n">
        <f aca="false">COUNTIFS(Tasks!$A$5:$A$44,$A9,Tasks!$E$5:$E$44,"Blocked")</f>
        <v>0</v>
      </c>
      <c r="G9" s="7" t="n">
        <f aca="false">IFERROR($C9/$B9,0)</f>
        <v>0</v>
      </c>
    </row>
    <row r="10" customFormat="false" ht="15" hidden="false" customHeight="true" outlineLevel="0" collapsed="false">
      <c r="A10" s="8" t="s">
        <v>14</v>
      </c>
      <c r="B10" s="9" t="n">
        <f aca="false">SUM(B5:B9)</f>
        <v>40</v>
      </c>
      <c r="C10" s="9" t="n">
        <f aca="false">SUM(C5:C9)</f>
        <v>3</v>
      </c>
      <c r="D10" s="9" t="n">
        <f aca="false">SUM(D5:D9)</f>
        <v>1</v>
      </c>
      <c r="E10" s="9" t="n">
        <f aca="false">SUM(E5:E9)</f>
        <v>36</v>
      </c>
      <c r="F10" s="9" t="n">
        <f aca="false">SUM(F5:F9)</f>
        <v>0</v>
      </c>
      <c r="G10" s="10" t="n">
        <f aca="false">IFERROR($C10/$B10,0)</f>
        <v>0.075</v>
      </c>
    </row>
    <row r="12" customFormat="false" ht="15" hidden="false" customHeight="true" outlineLevel="0" collapsed="false">
      <c r="A12" s="11" t="s">
        <v>15</v>
      </c>
      <c r="B12" s="12" t="n">
        <f aca="false">COUNTIF(Bugs!$F:$F,"Open")</f>
        <v>2</v>
      </c>
    </row>
    <row r="13" customFormat="false" ht="15" hidden="false" customHeight="true" outlineLevel="0" collapsed="false">
      <c r="A13" s="11" t="s">
        <v>16</v>
      </c>
      <c r="B13" s="12" t="n">
        <f aca="false">COUNTIFS(Bugs!$F:$F,"Open",Bugs!$E:$E,"Critical")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7"/>
    <col collapsed="false" customWidth="true" hidden="false" outlineLevel="0" max="3" min="3" style="1" width="40"/>
    <col collapsed="false" customWidth="true" hidden="false" outlineLevel="0" max="4" min="4" style="1" width="62"/>
    <col collapsed="false" customWidth="true" hidden="false" outlineLevel="0" max="5" min="5" style="1" width="14"/>
    <col collapsed="false" customWidth="true" hidden="false" outlineLevel="0" max="6" min="6" style="1" width="10"/>
    <col collapsed="false" customWidth="true" hidden="false" outlineLevel="0" max="7" min="7" style="1" width="52"/>
  </cols>
  <sheetData>
    <row r="1" customFormat="false" ht="17.25" hidden="false" customHeight="true" outlineLevel="0" collapsed="false">
      <c r="A1" s="2" t="s">
        <v>17</v>
      </c>
    </row>
    <row r="2" customFormat="false" ht="15" hidden="false" customHeight="true" outlineLevel="0" collapsed="false">
      <c r="A2" s="3" t="s">
        <v>18</v>
      </c>
    </row>
    <row r="4" customFormat="false" ht="15" hidden="false" customHeight="true" outlineLevel="0" collapsed="false">
      <c r="A4" s="4" t="s">
        <v>2</v>
      </c>
      <c r="B4" s="4" t="s">
        <v>19</v>
      </c>
      <c r="C4" s="4" t="s">
        <v>20</v>
      </c>
      <c r="D4" s="4" t="s">
        <v>21</v>
      </c>
      <c r="E4" s="4" t="s">
        <v>22</v>
      </c>
      <c r="F4" s="4" t="s">
        <v>23</v>
      </c>
      <c r="G4" s="4" t="s">
        <v>24</v>
      </c>
    </row>
    <row r="5" customFormat="false" ht="23.25" hidden="false" customHeight="true" outlineLevel="0" collapsed="false">
      <c r="A5" s="9" t="s">
        <v>9</v>
      </c>
      <c r="B5" s="13" t="s">
        <v>25</v>
      </c>
      <c r="C5" s="14" t="s">
        <v>26</v>
      </c>
      <c r="D5" s="14" t="s">
        <v>27</v>
      </c>
      <c r="E5" s="13" t="s">
        <v>4</v>
      </c>
      <c r="F5" s="13" t="s">
        <v>28</v>
      </c>
      <c r="G5" s="14" t="s">
        <v>29</v>
      </c>
    </row>
    <row r="6" customFormat="false" ht="23.25" hidden="false" customHeight="true" outlineLevel="0" collapsed="false">
      <c r="A6" s="15" t="s">
        <v>9</v>
      </c>
      <c r="B6" s="6" t="s">
        <v>30</v>
      </c>
      <c r="C6" s="16" t="s">
        <v>31</v>
      </c>
      <c r="D6" s="16" t="s">
        <v>32</v>
      </c>
      <c r="E6" s="17" t="s">
        <v>4</v>
      </c>
      <c r="F6" s="6" t="s">
        <v>28</v>
      </c>
      <c r="G6" s="16" t="s">
        <v>33</v>
      </c>
    </row>
    <row r="7" customFormat="false" ht="23.25" hidden="false" customHeight="true" outlineLevel="0" collapsed="false">
      <c r="A7" s="15" t="s">
        <v>9</v>
      </c>
      <c r="B7" s="6" t="s">
        <v>34</v>
      </c>
      <c r="C7" s="16" t="s">
        <v>35</v>
      </c>
      <c r="D7" s="16" t="s">
        <v>36</v>
      </c>
      <c r="E7" s="17" t="s">
        <v>4</v>
      </c>
      <c r="F7" s="6" t="s">
        <v>37</v>
      </c>
      <c r="G7" s="16" t="s">
        <v>38</v>
      </c>
    </row>
    <row r="8" customFormat="false" ht="23.25" hidden="false" customHeight="true" outlineLevel="0" collapsed="false">
      <c r="A8" s="15" t="s">
        <v>9</v>
      </c>
      <c r="B8" s="6" t="s">
        <v>39</v>
      </c>
      <c r="C8" s="16" t="s">
        <v>40</v>
      </c>
      <c r="D8" s="16" t="s">
        <v>41</v>
      </c>
      <c r="E8" s="17" t="s">
        <v>6</v>
      </c>
      <c r="F8" s="6" t="s">
        <v>28</v>
      </c>
      <c r="G8" s="16" t="s">
        <v>42</v>
      </c>
    </row>
    <row r="9" customFormat="false" ht="15" hidden="false" customHeight="true" outlineLevel="0" collapsed="false">
      <c r="A9" s="15" t="s">
        <v>9</v>
      </c>
      <c r="B9" s="6" t="s">
        <v>43</v>
      </c>
      <c r="C9" s="16" t="s">
        <v>44</v>
      </c>
      <c r="D9" s="16" t="s">
        <v>45</v>
      </c>
      <c r="E9" s="17" t="s">
        <v>6</v>
      </c>
      <c r="F9" s="6" t="s">
        <v>28</v>
      </c>
      <c r="G9" s="16" t="s">
        <v>46</v>
      </c>
    </row>
    <row r="10" customFormat="false" ht="23.25" hidden="false" customHeight="true" outlineLevel="0" collapsed="false">
      <c r="A10" s="15" t="s">
        <v>9</v>
      </c>
      <c r="B10" s="6" t="s">
        <v>47</v>
      </c>
      <c r="C10" s="16" t="s">
        <v>48</v>
      </c>
      <c r="D10" s="16" t="s">
        <v>49</v>
      </c>
      <c r="E10" s="17" t="s">
        <v>6</v>
      </c>
      <c r="F10" s="6" t="s">
        <v>28</v>
      </c>
      <c r="G10" s="16" t="s">
        <v>50</v>
      </c>
    </row>
    <row r="11" customFormat="false" ht="23.25" hidden="false" customHeight="true" outlineLevel="0" collapsed="false">
      <c r="A11" s="15" t="s">
        <v>9</v>
      </c>
      <c r="B11" s="6" t="s">
        <v>51</v>
      </c>
      <c r="C11" s="16" t="s">
        <v>52</v>
      </c>
      <c r="D11" s="16" t="s">
        <v>53</v>
      </c>
      <c r="E11" s="17" t="s">
        <v>5</v>
      </c>
      <c r="F11" s="6" t="s">
        <v>37</v>
      </c>
      <c r="G11" s="16" t="s">
        <v>54</v>
      </c>
    </row>
    <row r="12" customFormat="false" ht="15" hidden="false" customHeight="true" outlineLevel="0" collapsed="false">
      <c r="A12" s="15" t="s">
        <v>9</v>
      </c>
      <c r="B12" s="6" t="s">
        <v>55</v>
      </c>
      <c r="C12" s="16" t="s">
        <v>56</v>
      </c>
      <c r="D12" s="16" t="s">
        <v>57</v>
      </c>
      <c r="E12" s="17" t="s">
        <v>6</v>
      </c>
      <c r="F12" s="6" t="s">
        <v>28</v>
      </c>
      <c r="G12" s="16" t="s">
        <v>58</v>
      </c>
    </row>
    <row r="13" customFormat="false" ht="23.25" hidden="false" customHeight="true" outlineLevel="0" collapsed="false">
      <c r="A13" s="9" t="s">
        <v>10</v>
      </c>
      <c r="B13" s="13" t="s">
        <v>59</v>
      </c>
      <c r="C13" s="14" t="s">
        <v>60</v>
      </c>
      <c r="D13" s="14" t="s">
        <v>61</v>
      </c>
      <c r="E13" s="13" t="s">
        <v>6</v>
      </c>
      <c r="F13" s="13"/>
      <c r="G13" s="14" t="s">
        <v>62</v>
      </c>
    </row>
    <row r="14" customFormat="false" ht="15" hidden="false" customHeight="true" outlineLevel="0" collapsed="false">
      <c r="A14" s="15" t="s">
        <v>10</v>
      </c>
      <c r="B14" s="6" t="s">
        <v>63</v>
      </c>
      <c r="C14" s="16" t="s">
        <v>64</v>
      </c>
      <c r="D14" s="16" t="s">
        <v>65</v>
      </c>
      <c r="E14" s="17" t="s">
        <v>6</v>
      </c>
      <c r="F14" s="6"/>
      <c r="G14" s="16" t="s">
        <v>62</v>
      </c>
    </row>
    <row r="15" customFormat="false" ht="23.25" hidden="false" customHeight="true" outlineLevel="0" collapsed="false">
      <c r="A15" s="15" t="s">
        <v>10</v>
      </c>
      <c r="B15" s="6" t="s">
        <v>66</v>
      </c>
      <c r="C15" s="16" t="s">
        <v>67</v>
      </c>
      <c r="D15" s="16" t="s">
        <v>68</v>
      </c>
      <c r="E15" s="17" t="s">
        <v>6</v>
      </c>
      <c r="F15" s="6"/>
      <c r="G15" s="16" t="s">
        <v>69</v>
      </c>
    </row>
    <row r="16" customFormat="false" ht="23.25" hidden="false" customHeight="true" outlineLevel="0" collapsed="false">
      <c r="A16" s="15" t="s">
        <v>10</v>
      </c>
      <c r="B16" s="6" t="s">
        <v>70</v>
      </c>
      <c r="C16" s="16" t="s">
        <v>71</v>
      </c>
      <c r="D16" s="16" t="s">
        <v>72</v>
      </c>
      <c r="E16" s="17" t="s">
        <v>6</v>
      </c>
      <c r="F16" s="6"/>
      <c r="G16" s="16" t="s">
        <v>73</v>
      </c>
    </row>
    <row r="17" customFormat="false" ht="23.25" hidden="false" customHeight="true" outlineLevel="0" collapsed="false">
      <c r="A17" s="15" t="s">
        <v>10</v>
      </c>
      <c r="B17" s="6" t="s">
        <v>74</v>
      </c>
      <c r="C17" s="16" t="s">
        <v>75</v>
      </c>
      <c r="D17" s="16" t="s">
        <v>76</v>
      </c>
      <c r="E17" s="17" t="s">
        <v>6</v>
      </c>
      <c r="F17" s="6"/>
      <c r="G17" s="16" t="s">
        <v>77</v>
      </c>
    </row>
    <row r="18" customFormat="false" ht="15" hidden="false" customHeight="true" outlineLevel="0" collapsed="false">
      <c r="A18" s="15" t="s">
        <v>10</v>
      </c>
      <c r="B18" s="6" t="s">
        <v>78</v>
      </c>
      <c r="C18" s="16" t="s">
        <v>79</v>
      </c>
      <c r="D18" s="16" t="s">
        <v>80</v>
      </c>
      <c r="E18" s="17" t="s">
        <v>6</v>
      </c>
      <c r="F18" s="6"/>
      <c r="G18" s="16"/>
    </row>
    <row r="19" customFormat="false" ht="15" hidden="false" customHeight="true" outlineLevel="0" collapsed="false">
      <c r="A19" s="15" t="s">
        <v>10</v>
      </c>
      <c r="B19" s="6" t="s">
        <v>81</v>
      </c>
      <c r="C19" s="16" t="s">
        <v>82</v>
      </c>
      <c r="D19" s="16" t="s">
        <v>83</v>
      </c>
      <c r="E19" s="17" t="s">
        <v>6</v>
      </c>
      <c r="F19" s="6"/>
      <c r="G19" s="16"/>
    </row>
    <row r="20" customFormat="false" ht="15" hidden="false" customHeight="true" outlineLevel="0" collapsed="false">
      <c r="A20" s="9" t="s">
        <v>11</v>
      </c>
      <c r="B20" s="13" t="s">
        <v>84</v>
      </c>
      <c r="C20" s="14" t="s">
        <v>85</v>
      </c>
      <c r="D20" s="14" t="s">
        <v>86</v>
      </c>
      <c r="E20" s="13" t="s">
        <v>6</v>
      </c>
      <c r="F20" s="13"/>
      <c r="G20" s="14" t="s">
        <v>87</v>
      </c>
    </row>
    <row r="21" customFormat="false" ht="15" hidden="false" customHeight="true" outlineLevel="0" collapsed="false">
      <c r="A21" s="15" t="s">
        <v>11</v>
      </c>
      <c r="B21" s="6" t="s">
        <v>88</v>
      </c>
      <c r="C21" s="16" t="s">
        <v>89</v>
      </c>
      <c r="D21" s="16" t="s">
        <v>90</v>
      </c>
      <c r="E21" s="17" t="s">
        <v>6</v>
      </c>
      <c r="F21" s="6"/>
      <c r="G21" s="16" t="s">
        <v>91</v>
      </c>
    </row>
    <row r="22" customFormat="false" ht="23.25" hidden="false" customHeight="true" outlineLevel="0" collapsed="false">
      <c r="A22" s="15" t="s">
        <v>11</v>
      </c>
      <c r="B22" s="6" t="s">
        <v>92</v>
      </c>
      <c r="C22" s="16" t="s">
        <v>93</v>
      </c>
      <c r="D22" s="16" t="s">
        <v>94</v>
      </c>
      <c r="E22" s="17" t="s">
        <v>6</v>
      </c>
      <c r="F22" s="6"/>
      <c r="G22" s="16" t="s">
        <v>95</v>
      </c>
    </row>
    <row r="23" customFormat="false" ht="23.25" hidden="false" customHeight="true" outlineLevel="0" collapsed="false">
      <c r="A23" s="15" t="s">
        <v>11</v>
      </c>
      <c r="B23" s="6" t="s">
        <v>96</v>
      </c>
      <c r="C23" s="16" t="s">
        <v>97</v>
      </c>
      <c r="D23" s="16" t="s">
        <v>98</v>
      </c>
      <c r="E23" s="17" t="s">
        <v>6</v>
      </c>
      <c r="F23" s="6"/>
      <c r="G23" s="16" t="s">
        <v>99</v>
      </c>
    </row>
    <row r="24" customFormat="false" ht="15" hidden="false" customHeight="true" outlineLevel="0" collapsed="false">
      <c r="A24" s="15" t="s">
        <v>11</v>
      </c>
      <c r="B24" s="6" t="s">
        <v>100</v>
      </c>
      <c r="C24" s="16" t="s">
        <v>101</v>
      </c>
      <c r="D24" s="16" t="s">
        <v>102</v>
      </c>
      <c r="E24" s="17" t="s">
        <v>6</v>
      </c>
      <c r="F24" s="6"/>
      <c r="G24" s="16"/>
    </row>
    <row r="25" customFormat="false" ht="15" hidden="false" customHeight="true" outlineLevel="0" collapsed="false">
      <c r="A25" s="15" t="s">
        <v>11</v>
      </c>
      <c r="B25" s="6" t="s">
        <v>103</v>
      </c>
      <c r="C25" s="16" t="s">
        <v>104</v>
      </c>
      <c r="D25" s="16" t="s">
        <v>105</v>
      </c>
      <c r="E25" s="17" t="s">
        <v>6</v>
      </c>
      <c r="F25" s="6"/>
      <c r="G25" s="16" t="s">
        <v>106</v>
      </c>
    </row>
    <row r="26" customFormat="false" ht="15" hidden="false" customHeight="true" outlineLevel="0" collapsed="false">
      <c r="A26" s="15" t="s">
        <v>11</v>
      </c>
      <c r="B26" s="6" t="s">
        <v>107</v>
      </c>
      <c r="C26" s="16" t="s">
        <v>108</v>
      </c>
      <c r="D26" s="16" t="s">
        <v>109</v>
      </c>
      <c r="E26" s="17" t="s">
        <v>6</v>
      </c>
      <c r="F26" s="6"/>
      <c r="G26" s="16" t="s">
        <v>110</v>
      </c>
    </row>
    <row r="27" customFormat="false" ht="23.25" hidden="false" customHeight="true" outlineLevel="0" collapsed="false">
      <c r="A27" s="15" t="s">
        <v>11</v>
      </c>
      <c r="B27" s="6" t="s">
        <v>111</v>
      </c>
      <c r="C27" s="16" t="s">
        <v>112</v>
      </c>
      <c r="D27" s="16" t="s">
        <v>113</v>
      </c>
      <c r="E27" s="17" t="s">
        <v>6</v>
      </c>
      <c r="F27" s="6"/>
      <c r="G27" s="16" t="s">
        <v>114</v>
      </c>
    </row>
    <row r="28" customFormat="false" ht="23.25" hidden="false" customHeight="true" outlineLevel="0" collapsed="false">
      <c r="A28" s="9" t="s">
        <v>12</v>
      </c>
      <c r="B28" s="13" t="s">
        <v>115</v>
      </c>
      <c r="C28" s="14" t="s">
        <v>116</v>
      </c>
      <c r="D28" s="14" t="s">
        <v>117</v>
      </c>
      <c r="E28" s="13" t="s">
        <v>6</v>
      </c>
      <c r="F28" s="13"/>
      <c r="G28" s="14" t="s">
        <v>118</v>
      </c>
    </row>
    <row r="29" customFormat="false" ht="15" hidden="false" customHeight="true" outlineLevel="0" collapsed="false">
      <c r="A29" s="15" t="s">
        <v>12</v>
      </c>
      <c r="B29" s="6" t="s">
        <v>119</v>
      </c>
      <c r="C29" s="16" t="s">
        <v>120</v>
      </c>
      <c r="D29" s="16" t="s">
        <v>121</v>
      </c>
      <c r="E29" s="17" t="s">
        <v>6</v>
      </c>
      <c r="F29" s="6"/>
      <c r="G29" s="16"/>
    </row>
    <row r="30" customFormat="false" ht="15" hidden="false" customHeight="true" outlineLevel="0" collapsed="false">
      <c r="A30" s="15" t="s">
        <v>12</v>
      </c>
      <c r="B30" s="6" t="s">
        <v>122</v>
      </c>
      <c r="C30" s="16" t="s">
        <v>123</v>
      </c>
      <c r="D30" s="16" t="s">
        <v>124</v>
      </c>
      <c r="E30" s="17" t="s">
        <v>6</v>
      </c>
      <c r="F30" s="6"/>
      <c r="G30" s="16" t="s">
        <v>125</v>
      </c>
    </row>
    <row r="31" customFormat="false" ht="23.25" hidden="false" customHeight="true" outlineLevel="0" collapsed="false">
      <c r="A31" s="15" t="s">
        <v>12</v>
      </c>
      <c r="B31" s="6" t="s">
        <v>126</v>
      </c>
      <c r="C31" s="16" t="s">
        <v>127</v>
      </c>
      <c r="D31" s="16" t="s">
        <v>128</v>
      </c>
      <c r="E31" s="17" t="s">
        <v>6</v>
      </c>
      <c r="F31" s="6"/>
      <c r="G31" s="16" t="s">
        <v>129</v>
      </c>
    </row>
    <row r="32" customFormat="false" ht="15" hidden="false" customHeight="true" outlineLevel="0" collapsed="false">
      <c r="A32" s="15" t="s">
        <v>12</v>
      </c>
      <c r="B32" s="6" t="s">
        <v>130</v>
      </c>
      <c r="C32" s="16" t="s">
        <v>131</v>
      </c>
      <c r="D32" s="16" t="s">
        <v>132</v>
      </c>
      <c r="E32" s="17" t="s">
        <v>6</v>
      </c>
      <c r="F32" s="6"/>
      <c r="G32" s="16" t="s">
        <v>133</v>
      </c>
    </row>
    <row r="33" customFormat="false" ht="15" hidden="false" customHeight="true" outlineLevel="0" collapsed="false">
      <c r="A33" s="15" t="s">
        <v>12</v>
      </c>
      <c r="B33" s="6" t="s">
        <v>134</v>
      </c>
      <c r="C33" s="16" t="s">
        <v>135</v>
      </c>
      <c r="D33" s="16" t="s">
        <v>136</v>
      </c>
      <c r="E33" s="17" t="s">
        <v>6</v>
      </c>
      <c r="F33" s="6"/>
      <c r="G33" s="16" t="s">
        <v>137</v>
      </c>
    </row>
    <row r="34" customFormat="false" ht="23.25" hidden="false" customHeight="true" outlineLevel="0" collapsed="false">
      <c r="A34" s="15" t="s">
        <v>12</v>
      </c>
      <c r="B34" s="6" t="s">
        <v>138</v>
      </c>
      <c r="C34" s="16" t="s">
        <v>139</v>
      </c>
      <c r="D34" s="16" t="s">
        <v>140</v>
      </c>
      <c r="E34" s="17" t="s">
        <v>6</v>
      </c>
      <c r="F34" s="6"/>
      <c r="G34" s="16" t="s">
        <v>141</v>
      </c>
    </row>
    <row r="35" customFormat="false" ht="15" hidden="false" customHeight="true" outlineLevel="0" collapsed="false">
      <c r="A35" s="15" t="s">
        <v>12</v>
      </c>
      <c r="B35" s="6" t="s">
        <v>142</v>
      </c>
      <c r="C35" s="16" t="s">
        <v>143</v>
      </c>
      <c r="D35" s="16" t="s">
        <v>144</v>
      </c>
      <c r="E35" s="17" t="s">
        <v>6</v>
      </c>
      <c r="F35" s="6"/>
      <c r="G35" s="16" t="s">
        <v>145</v>
      </c>
    </row>
    <row r="36" customFormat="false" ht="15" hidden="false" customHeight="true" outlineLevel="0" collapsed="false">
      <c r="A36" s="15" t="s">
        <v>12</v>
      </c>
      <c r="B36" s="6" t="s">
        <v>146</v>
      </c>
      <c r="C36" s="16" t="s">
        <v>147</v>
      </c>
      <c r="D36" s="16" t="s">
        <v>148</v>
      </c>
      <c r="E36" s="17" t="s">
        <v>6</v>
      </c>
      <c r="F36" s="6"/>
      <c r="G36" s="16"/>
    </row>
    <row r="37" customFormat="false" ht="23.25" hidden="false" customHeight="true" outlineLevel="0" collapsed="false">
      <c r="A37" s="15" t="s">
        <v>12</v>
      </c>
      <c r="B37" s="6" t="s">
        <v>149</v>
      </c>
      <c r="C37" s="16" t="s">
        <v>150</v>
      </c>
      <c r="D37" s="16" t="s">
        <v>151</v>
      </c>
      <c r="E37" s="17" t="s">
        <v>6</v>
      </c>
      <c r="F37" s="6"/>
      <c r="G37" s="16" t="s">
        <v>152</v>
      </c>
    </row>
    <row r="38" customFormat="false" ht="15" hidden="false" customHeight="true" outlineLevel="0" collapsed="false">
      <c r="A38" s="9" t="s">
        <v>13</v>
      </c>
      <c r="B38" s="13" t="s">
        <v>153</v>
      </c>
      <c r="C38" s="14" t="s">
        <v>154</v>
      </c>
      <c r="D38" s="14" t="s">
        <v>155</v>
      </c>
      <c r="E38" s="13" t="s">
        <v>6</v>
      </c>
      <c r="F38" s="13"/>
      <c r="G38" s="14" t="s">
        <v>156</v>
      </c>
    </row>
    <row r="39" customFormat="false" ht="23.25" hidden="false" customHeight="true" outlineLevel="0" collapsed="false">
      <c r="A39" s="15" t="s">
        <v>13</v>
      </c>
      <c r="B39" s="6" t="s">
        <v>157</v>
      </c>
      <c r="C39" s="16" t="s">
        <v>158</v>
      </c>
      <c r="D39" s="16" t="s">
        <v>159</v>
      </c>
      <c r="E39" s="17" t="s">
        <v>6</v>
      </c>
      <c r="F39" s="6"/>
      <c r="G39" s="16"/>
    </row>
    <row r="40" customFormat="false" ht="23.25" hidden="false" customHeight="true" outlineLevel="0" collapsed="false">
      <c r="A40" s="15" t="s">
        <v>13</v>
      </c>
      <c r="B40" s="6" t="s">
        <v>160</v>
      </c>
      <c r="C40" s="16" t="s">
        <v>161</v>
      </c>
      <c r="D40" s="16" t="s">
        <v>162</v>
      </c>
      <c r="E40" s="17" t="s">
        <v>6</v>
      </c>
      <c r="F40" s="6"/>
      <c r="G40" s="16" t="s">
        <v>163</v>
      </c>
    </row>
    <row r="41" customFormat="false" ht="23.25" hidden="false" customHeight="true" outlineLevel="0" collapsed="false">
      <c r="A41" s="15" t="s">
        <v>13</v>
      </c>
      <c r="B41" s="6" t="s">
        <v>164</v>
      </c>
      <c r="C41" s="16" t="s">
        <v>165</v>
      </c>
      <c r="D41" s="16" t="s">
        <v>166</v>
      </c>
      <c r="E41" s="17" t="s">
        <v>6</v>
      </c>
      <c r="F41" s="6"/>
      <c r="G41" s="16" t="s">
        <v>167</v>
      </c>
    </row>
    <row r="42" customFormat="false" ht="15" hidden="false" customHeight="true" outlineLevel="0" collapsed="false">
      <c r="A42" s="15" t="s">
        <v>13</v>
      </c>
      <c r="B42" s="6" t="s">
        <v>168</v>
      </c>
      <c r="C42" s="16" t="s">
        <v>169</v>
      </c>
      <c r="D42" s="16" t="s">
        <v>170</v>
      </c>
      <c r="E42" s="17" t="s">
        <v>6</v>
      </c>
      <c r="F42" s="6"/>
      <c r="G42" s="16"/>
    </row>
    <row r="43" customFormat="false" ht="15" hidden="false" customHeight="true" outlineLevel="0" collapsed="false">
      <c r="A43" s="15" t="s">
        <v>13</v>
      </c>
      <c r="B43" s="6" t="s">
        <v>171</v>
      </c>
      <c r="C43" s="16" t="s">
        <v>172</v>
      </c>
      <c r="D43" s="16" t="s">
        <v>173</v>
      </c>
      <c r="E43" s="17" t="s">
        <v>6</v>
      </c>
      <c r="F43" s="6"/>
      <c r="G43" s="16"/>
    </row>
    <row r="44" customFormat="false" ht="15" hidden="false" customHeight="true" outlineLevel="0" collapsed="false">
      <c r="A44" s="15" t="s">
        <v>13</v>
      </c>
      <c r="B44" s="6" t="s">
        <v>174</v>
      </c>
      <c r="C44" s="16" t="s">
        <v>175</v>
      </c>
      <c r="D44" s="16" t="s">
        <v>176</v>
      </c>
      <c r="E44" s="17" t="s">
        <v>6</v>
      </c>
      <c r="F44" s="6"/>
      <c r="G44" s="16"/>
    </row>
  </sheetData>
  <autoFilter ref="A4:G44"/>
  <conditionalFormatting sqref="E5:E44">
    <cfRule type="cellIs" priority="2" operator="equal" aboveAverage="0" equalAverage="0" bottom="0" percent="0" rank="0" text="" dxfId="8">
      <formula>"Done"</formula>
    </cfRule>
    <cfRule type="cellIs" priority="3" operator="equal" aboveAverage="0" equalAverage="0" bottom="0" percent="0" rank="0" text="" dxfId="9">
      <formula>"In Progress"</formula>
    </cfRule>
    <cfRule type="cellIs" priority="4" operator="equal" aboveAverage="0" equalAverage="0" bottom="0" percent="0" rank="0" text="" dxfId="10">
      <formula>"Blocked"</formula>
    </cfRule>
  </conditionalFormatting>
  <dataValidations count="1">
    <dataValidation allowBlank="true" errorStyle="stop" operator="between" showDropDown="false" showErrorMessage="false" showInputMessage="false" sqref="E5:E44" type="list">
      <formula1>"Not Started,In Progress,Done,Blocked,N/A"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8"/>
    <col collapsed="false" customWidth="true" hidden="false" outlineLevel="0" max="3" min="3" style="1" width="26"/>
    <col collapsed="false" customWidth="true" hidden="false" outlineLevel="0" max="4" min="4" style="1" width="56"/>
    <col collapsed="false" customWidth="true" hidden="false" outlineLevel="0" max="5" min="5" style="1" width="11"/>
    <col collapsed="false" customWidth="true" hidden="false" outlineLevel="0" max="6" min="6" style="1" width="13"/>
    <col collapsed="false" customWidth="true" hidden="false" outlineLevel="0" max="7" min="7" style="1" width="56"/>
  </cols>
  <sheetData>
    <row r="1" customFormat="false" ht="17.25" hidden="false" customHeight="true" outlineLevel="0" collapsed="false">
      <c r="A1" s="2" t="s">
        <v>177</v>
      </c>
    </row>
    <row r="3" customFormat="false" ht="15" hidden="false" customHeight="true" outlineLevel="0" collapsed="false">
      <c r="A3" s="4" t="s">
        <v>19</v>
      </c>
      <c r="B3" s="4" t="s">
        <v>20</v>
      </c>
      <c r="C3" s="4" t="s">
        <v>178</v>
      </c>
      <c r="D3" s="4" t="s">
        <v>179</v>
      </c>
      <c r="E3" s="4" t="s">
        <v>180</v>
      </c>
      <c r="F3" s="4" t="s">
        <v>22</v>
      </c>
      <c r="G3" s="4" t="s">
        <v>24</v>
      </c>
    </row>
    <row r="4" customFormat="false" ht="15" hidden="false" customHeight="true" outlineLevel="0" collapsed="false">
      <c r="A4" s="6" t="s">
        <v>181</v>
      </c>
      <c r="B4" s="6" t="s">
        <v>25</v>
      </c>
      <c r="C4" s="16" t="s">
        <v>182</v>
      </c>
      <c r="D4" s="16" t="s">
        <v>183</v>
      </c>
      <c r="E4" s="17" t="s">
        <v>184</v>
      </c>
      <c r="F4" s="17" t="s">
        <v>185</v>
      </c>
      <c r="G4" s="16" t="s">
        <v>186</v>
      </c>
    </row>
    <row r="5" customFormat="false" ht="15" hidden="false" customHeight="true" outlineLevel="0" collapsed="false">
      <c r="A5" s="6" t="s">
        <v>187</v>
      </c>
      <c r="B5" s="6" t="s">
        <v>25</v>
      </c>
      <c r="C5" s="16" t="s">
        <v>188</v>
      </c>
      <c r="D5" s="16" t="s">
        <v>189</v>
      </c>
      <c r="E5" s="17" t="s">
        <v>184</v>
      </c>
      <c r="F5" s="17" t="s">
        <v>185</v>
      </c>
      <c r="G5" s="16"/>
    </row>
    <row r="6" customFormat="false" ht="15" hidden="false" customHeight="true" outlineLevel="0" collapsed="false">
      <c r="A6" s="6" t="s">
        <v>190</v>
      </c>
      <c r="B6" s="6" t="s">
        <v>25</v>
      </c>
      <c r="C6" s="16" t="s">
        <v>191</v>
      </c>
      <c r="D6" s="16" t="s">
        <v>192</v>
      </c>
      <c r="E6" s="17" t="s">
        <v>193</v>
      </c>
      <c r="F6" s="17" t="s">
        <v>185</v>
      </c>
      <c r="G6" s="16"/>
    </row>
    <row r="7" customFormat="false" ht="15" hidden="false" customHeight="true" outlineLevel="0" collapsed="false">
      <c r="A7" s="6" t="s">
        <v>194</v>
      </c>
      <c r="B7" s="6" t="s">
        <v>25</v>
      </c>
      <c r="C7" s="16" t="s">
        <v>191</v>
      </c>
      <c r="D7" s="16" t="s">
        <v>195</v>
      </c>
      <c r="E7" s="17" t="s">
        <v>196</v>
      </c>
      <c r="F7" s="17" t="s">
        <v>185</v>
      </c>
      <c r="G7" s="16" t="s">
        <v>197</v>
      </c>
    </row>
    <row r="8" customFormat="false" ht="15" hidden="false" customHeight="true" outlineLevel="0" collapsed="false">
      <c r="A8" s="6" t="s">
        <v>198</v>
      </c>
      <c r="B8" s="6" t="s">
        <v>25</v>
      </c>
      <c r="C8" s="16" t="s">
        <v>199</v>
      </c>
      <c r="D8" s="16" t="s">
        <v>200</v>
      </c>
      <c r="E8" s="17" t="s">
        <v>196</v>
      </c>
      <c r="F8" s="17" t="s">
        <v>185</v>
      </c>
      <c r="G8" s="16"/>
    </row>
    <row r="9" customFormat="false" ht="15" hidden="false" customHeight="true" outlineLevel="0" collapsed="false">
      <c r="A9" s="6" t="s">
        <v>201</v>
      </c>
      <c r="B9" s="6" t="s">
        <v>30</v>
      </c>
      <c r="C9" s="16" t="s">
        <v>202</v>
      </c>
      <c r="D9" s="16" t="s">
        <v>203</v>
      </c>
      <c r="E9" s="17" t="s">
        <v>184</v>
      </c>
      <c r="F9" s="17" t="s">
        <v>185</v>
      </c>
      <c r="G9" s="16" t="s">
        <v>204</v>
      </c>
    </row>
    <row r="10" customFormat="false" ht="15" hidden="false" customHeight="true" outlineLevel="0" collapsed="false">
      <c r="A10" s="6" t="s">
        <v>205</v>
      </c>
      <c r="B10" s="6" t="s">
        <v>30</v>
      </c>
      <c r="C10" s="16" t="s">
        <v>206</v>
      </c>
      <c r="D10" s="16" t="s">
        <v>207</v>
      </c>
      <c r="E10" s="17" t="s">
        <v>184</v>
      </c>
      <c r="F10" s="17" t="s">
        <v>185</v>
      </c>
      <c r="G10" s="16" t="s">
        <v>208</v>
      </c>
    </row>
    <row r="11" customFormat="false" ht="15" hidden="false" customHeight="true" outlineLevel="0" collapsed="false">
      <c r="A11" s="6" t="s">
        <v>209</v>
      </c>
      <c r="B11" s="6" t="s">
        <v>30</v>
      </c>
      <c r="C11" s="16" t="s">
        <v>182</v>
      </c>
      <c r="D11" s="16" t="s">
        <v>210</v>
      </c>
      <c r="E11" s="17" t="s">
        <v>184</v>
      </c>
      <c r="F11" s="17" t="s">
        <v>185</v>
      </c>
      <c r="G11" s="16" t="s">
        <v>211</v>
      </c>
    </row>
    <row r="12" customFormat="false" ht="15" hidden="false" customHeight="true" outlineLevel="0" collapsed="false">
      <c r="A12" s="6" t="s">
        <v>212</v>
      </c>
      <c r="B12" s="6" t="s">
        <v>30</v>
      </c>
      <c r="C12" s="16" t="s">
        <v>213</v>
      </c>
      <c r="D12" s="16" t="s">
        <v>214</v>
      </c>
      <c r="E12" s="17" t="s">
        <v>196</v>
      </c>
      <c r="F12" s="17" t="s">
        <v>185</v>
      </c>
      <c r="G12" s="16" t="s">
        <v>215</v>
      </c>
    </row>
    <row r="13" customFormat="false" ht="15" hidden="false" customHeight="true" outlineLevel="0" collapsed="false">
      <c r="A13" s="6" t="s">
        <v>216</v>
      </c>
      <c r="B13" s="6" t="s">
        <v>30</v>
      </c>
      <c r="C13" s="16" t="s">
        <v>217</v>
      </c>
      <c r="D13" s="16" t="s">
        <v>218</v>
      </c>
      <c r="E13" s="17" t="s">
        <v>196</v>
      </c>
      <c r="F13" s="17" t="s">
        <v>185</v>
      </c>
      <c r="G13" s="16" t="s">
        <v>219</v>
      </c>
    </row>
    <row r="14" customFormat="false" ht="23.25" hidden="false" customHeight="true" outlineLevel="0" collapsed="false">
      <c r="A14" s="6" t="s">
        <v>220</v>
      </c>
      <c r="B14" s="6" t="s">
        <v>30</v>
      </c>
      <c r="C14" s="16" t="s">
        <v>221</v>
      </c>
      <c r="D14" s="16" t="s">
        <v>222</v>
      </c>
      <c r="E14" s="17" t="s">
        <v>196</v>
      </c>
      <c r="F14" s="17" t="s">
        <v>185</v>
      </c>
      <c r="G14" s="16" t="s">
        <v>223</v>
      </c>
    </row>
    <row r="15" customFormat="false" ht="23.25" hidden="false" customHeight="true" outlineLevel="0" collapsed="false">
      <c r="A15" s="6" t="s">
        <v>224</v>
      </c>
      <c r="B15" s="6" t="s">
        <v>225</v>
      </c>
      <c r="C15" s="16" t="s">
        <v>226</v>
      </c>
      <c r="D15" s="16" t="s">
        <v>227</v>
      </c>
      <c r="E15" s="17" t="s">
        <v>196</v>
      </c>
      <c r="F15" s="17" t="s">
        <v>185</v>
      </c>
      <c r="G15" s="16" t="s">
        <v>228</v>
      </c>
    </row>
    <row r="16" customFormat="false" ht="15" hidden="false" customHeight="true" outlineLevel="0" collapsed="false">
      <c r="A16" s="6" t="s">
        <v>229</v>
      </c>
      <c r="B16" s="6" t="s">
        <v>34</v>
      </c>
      <c r="C16" s="16" t="s">
        <v>230</v>
      </c>
      <c r="D16" s="16" t="s">
        <v>231</v>
      </c>
      <c r="E16" s="17" t="s">
        <v>184</v>
      </c>
      <c r="F16" s="17" t="s">
        <v>185</v>
      </c>
      <c r="G16" s="16" t="s">
        <v>232</v>
      </c>
    </row>
    <row r="17" customFormat="false" ht="15" hidden="false" customHeight="true" outlineLevel="0" collapsed="false">
      <c r="A17" s="6" t="s">
        <v>233</v>
      </c>
      <c r="B17" s="6" t="s">
        <v>47</v>
      </c>
      <c r="C17" s="16" t="s">
        <v>234</v>
      </c>
      <c r="D17" s="16" t="s">
        <v>235</v>
      </c>
      <c r="E17" s="17" t="s">
        <v>184</v>
      </c>
      <c r="F17" s="17" t="s">
        <v>236</v>
      </c>
      <c r="G17" s="16" t="s">
        <v>237</v>
      </c>
    </row>
    <row r="18" customFormat="false" ht="15" hidden="false" customHeight="true" outlineLevel="0" collapsed="false">
      <c r="A18" s="6" t="s">
        <v>238</v>
      </c>
      <c r="B18" s="6" t="s">
        <v>51</v>
      </c>
      <c r="C18" s="16" t="s">
        <v>239</v>
      </c>
      <c r="D18" s="16" t="s">
        <v>240</v>
      </c>
      <c r="E18" s="17" t="s">
        <v>193</v>
      </c>
      <c r="F18" s="17" t="s">
        <v>241</v>
      </c>
      <c r="G18" s="16" t="s">
        <v>242</v>
      </c>
    </row>
    <row r="19" customFormat="false" ht="15" hidden="false" customHeight="true" outlineLevel="0" collapsed="false">
      <c r="A19" s="6" t="s">
        <v>243</v>
      </c>
      <c r="B19" s="6" t="s">
        <v>225</v>
      </c>
      <c r="C19" s="16" t="s">
        <v>244</v>
      </c>
      <c r="D19" s="16" t="s">
        <v>245</v>
      </c>
      <c r="E19" s="17" t="s">
        <v>193</v>
      </c>
      <c r="F19" s="17" t="s">
        <v>185</v>
      </c>
      <c r="G19" s="16" t="s">
        <v>246</v>
      </c>
    </row>
    <row r="20" customFormat="false" ht="15" hidden="false" customHeight="true" outlineLevel="0" collapsed="false">
      <c r="A20" s="6" t="s">
        <v>247</v>
      </c>
      <c r="B20" s="6" t="s">
        <v>30</v>
      </c>
      <c r="C20" s="16" t="s">
        <v>248</v>
      </c>
      <c r="D20" s="16" t="s">
        <v>249</v>
      </c>
      <c r="E20" s="17" t="s">
        <v>193</v>
      </c>
      <c r="F20" s="17" t="s">
        <v>185</v>
      </c>
      <c r="G20" s="16" t="s">
        <v>250</v>
      </c>
    </row>
    <row r="21" customFormat="false" ht="15" hidden="false" customHeight="true" outlineLevel="0" collapsed="false">
      <c r="A21" s="6" t="s">
        <v>251</v>
      </c>
      <c r="B21" s="6" t="s">
        <v>225</v>
      </c>
      <c r="C21" s="16" t="s">
        <v>248</v>
      </c>
      <c r="D21" s="16" t="s">
        <v>252</v>
      </c>
      <c r="E21" s="17" t="s">
        <v>196</v>
      </c>
      <c r="F21" s="17" t="s">
        <v>185</v>
      </c>
      <c r="G21" s="16" t="s">
        <v>253</v>
      </c>
    </row>
    <row r="22" customFormat="false" ht="15" hidden="false" customHeight="true" outlineLevel="0" collapsed="false">
      <c r="A22" s="6" t="s">
        <v>254</v>
      </c>
      <c r="B22" s="6" t="s">
        <v>225</v>
      </c>
      <c r="C22" s="16" t="s">
        <v>255</v>
      </c>
      <c r="D22" s="16" t="s">
        <v>256</v>
      </c>
      <c r="E22" s="17" t="s">
        <v>196</v>
      </c>
      <c r="F22" s="17" t="s">
        <v>236</v>
      </c>
      <c r="G22" s="16"/>
    </row>
    <row r="23" customFormat="false" ht="15" hidden="false" customHeight="true" outlineLevel="0" collapsed="false">
      <c r="A23" s="6" t="s">
        <v>257</v>
      </c>
      <c r="B23" s="6" t="s">
        <v>225</v>
      </c>
      <c r="C23" s="16" t="s">
        <v>258</v>
      </c>
      <c r="D23" s="16" t="s">
        <v>259</v>
      </c>
      <c r="E23" s="17" t="s">
        <v>193</v>
      </c>
      <c r="F23" s="17" t="s">
        <v>185</v>
      </c>
      <c r="G23" s="16" t="s">
        <v>260</v>
      </c>
    </row>
    <row r="24" customFormat="false" ht="23.25" hidden="false" customHeight="true" outlineLevel="0" collapsed="false">
      <c r="A24" s="6" t="s">
        <v>261</v>
      </c>
      <c r="B24" s="6" t="s">
        <v>225</v>
      </c>
      <c r="C24" s="16" t="s">
        <v>262</v>
      </c>
      <c r="D24" s="16" t="s">
        <v>263</v>
      </c>
      <c r="E24" s="6" t="s">
        <v>184</v>
      </c>
      <c r="F24" s="6" t="s">
        <v>185</v>
      </c>
      <c r="G24" s="16" t="s">
        <v>264</v>
      </c>
    </row>
    <row r="25" customFormat="false" ht="23.25" hidden="false" customHeight="true" outlineLevel="0" collapsed="false">
      <c r="A25" s="6" t="s">
        <v>265</v>
      </c>
      <c r="B25" s="6" t="s">
        <v>225</v>
      </c>
      <c r="C25" s="16" t="s">
        <v>266</v>
      </c>
      <c r="D25" s="16" t="s">
        <v>267</v>
      </c>
      <c r="E25" s="6" t="s">
        <v>196</v>
      </c>
      <c r="F25" s="6" t="s">
        <v>185</v>
      </c>
      <c r="G25" s="16" t="s">
        <v>268</v>
      </c>
    </row>
    <row r="26" customFormat="false" ht="23.25" hidden="false" customHeight="true" outlineLevel="0" collapsed="false">
      <c r="A26" s="6" t="s">
        <v>269</v>
      </c>
      <c r="B26" s="6" t="s">
        <v>225</v>
      </c>
      <c r="C26" s="16" t="s">
        <v>270</v>
      </c>
      <c r="D26" s="16" t="s">
        <v>271</v>
      </c>
      <c r="E26" s="6" t="s">
        <v>193</v>
      </c>
      <c r="F26" s="6" t="s">
        <v>185</v>
      </c>
      <c r="G26" s="16" t="s">
        <v>272</v>
      </c>
    </row>
    <row r="27" customFormat="false" ht="23.25" hidden="false" customHeight="true" outlineLevel="0" collapsed="false">
      <c r="A27" s="6" t="s">
        <v>273</v>
      </c>
      <c r="B27" s="6" t="s">
        <v>225</v>
      </c>
      <c r="C27" s="16" t="s">
        <v>274</v>
      </c>
      <c r="D27" s="16" t="s">
        <v>275</v>
      </c>
      <c r="E27" s="6" t="s">
        <v>184</v>
      </c>
      <c r="F27" s="6" t="s">
        <v>185</v>
      </c>
      <c r="G27" s="16" t="s">
        <v>276</v>
      </c>
    </row>
  </sheetData>
  <autoFilter ref="A3:G27"/>
  <conditionalFormatting sqref="E4:E23">
    <cfRule type="cellIs" priority="2" operator="equal" aboveAverage="0" equalAverage="0" bottom="0" percent="0" rank="0" text="" dxfId="13">
      <formula>"Critical"</formula>
    </cfRule>
  </conditionalFormatting>
  <conditionalFormatting sqref="F4:F23">
    <cfRule type="cellIs" priority="3" operator="equal" aboveAverage="0" equalAverage="0" bottom="0" percent="0" rank="0" text="" dxfId="8">
      <formula>"Fixed"</formula>
    </cfRule>
    <cfRule type="cellIs" priority="4" operator="equal" aboveAverage="0" equalAverage="0" bottom="0" percent="0" rank="0" text="" dxfId="9">
      <formula>"Open"</formula>
    </cfRule>
  </conditionalFormatting>
  <dataValidations count="1">
    <dataValidation allowBlank="true" errorStyle="stop" operator="between" showDropDown="false" showErrorMessage="false" showInputMessage="false" sqref="F4:F23" type="list">
      <formula1>"Open,In Progress,Fixed,Mitigated,Won't Fix"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62"/>
    <col collapsed="false" customWidth="true" hidden="false" outlineLevel="0" max="4" min="4" style="1" width="74"/>
    <col collapsed="false" customWidth="true" hidden="false" outlineLevel="0" max="5" min="5" style="1" width="14"/>
    <col collapsed="false" customWidth="true" hidden="false" outlineLevel="0" max="6" min="6" style="1" width="12"/>
  </cols>
  <sheetData>
    <row r="1" customFormat="false" ht="17.25" hidden="false" customHeight="true" outlineLevel="0" collapsed="false">
      <c r="A1" s="2" t="s">
        <v>277</v>
      </c>
    </row>
    <row r="2" customFormat="false" ht="15" hidden="false" customHeight="true" outlineLevel="0" collapsed="false">
      <c r="A2" s="3" t="s">
        <v>278</v>
      </c>
    </row>
    <row r="4" customFormat="false" ht="15" hidden="false" customHeight="true" outlineLevel="0" collapsed="false">
      <c r="A4" s="4" t="s">
        <v>19</v>
      </c>
      <c r="B4" s="4" t="s">
        <v>279</v>
      </c>
      <c r="C4" s="4" t="s">
        <v>280</v>
      </c>
      <c r="D4" s="4" t="s">
        <v>281</v>
      </c>
      <c r="E4" s="4" t="s">
        <v>282</v>
      </c>
      <c r="F4" s="4" t="s">
        <v>22</v>
      </c>
    </row>
    <row r="5" customFormat="false" ht="61.5" hidden="false" customHeight="true" outlineLevel="0" collapsed="false">
      <c r="A5" s="6" t="s">
        <v>283</v>
      </c>
      <c r="B5" s="16" t="s">
        <v>284</v>
      </c>
      <c r="C5" s="16" t="s">
        <v>285</v>
      </c>
      <c r="D5" s="16" t="s">
        <v>286</v>
      </c>
      <c r="E5" s="6" t="s">
        <v>287</v>
      </c>
      <c r="F5" s="17" t="s">
        <v>236</v>
      </c>
    </row>
    <row r="6" customFormat="false" ht="61.5" hidden="false" customHeight="true" outlineLevel="0" collapsed="false">
      <c r="A6" s="6" t="s">
        <v>288</v>
      </c>
      <c r="B6" s="16" t="s">
        <v>289</v>
      </c>
      <c r="C6" s="16" t="s">
        <v>290</v>
      </c>
      <c r="D6" s="16" t="s">
        <v>291</v>
      </c>
      <c r="E6" s="6" t="s">
        <v>292</v>
      </c>
      <c r="F6" s="17" t="s">
        <v>236</v>
      </c>
    </row>
    <row r="7" customFormat="false" ht="61.5" hidden="false" customHeight="true" outlineLevel="0" collapsed="false">
      <c r="A7" s="6" t="s">
        <v>293</v>
      </c>
      <c r="B7" s="16" t="s">
        <v>294</v>
      </c>
      <c r="C7" s="16" t="s">
        <v>295</v>
      </c>
      <c r="D7" s="16" t="s">
        <v>296</v>
      </c>
      <c r="E7" s="6" t="s">
        <v>297</v>
      </c>
      <c r="F7" s="17" t="s">
        <v>236</v>
      </c>
    </row>
    <row r="8" customFormat="false" ht="61.5" hidden="false" customHeight="true" outlineLevel="0" collapsed="false">
      <c r="A8" s="6" t="s">
        <v>298</v>
      </c>
      <c r="B8" s="16" t="s">
        <v>299</v>
      </c>
      <c r="C8" s="16" t="s">
        <v>300</v>
      </c>
      <c r="D8" s="16" t="s">
        <v>301</v>
      </c>
      <c r="E8" s="6" t="s">
        <v>302</v>
      </c>
      <c r="F8" s="17" t="s">
        <v>236</v>
      </c>
    </row>
    <row r="9" customFormat="false" ht="61.5" hidden="false" customHeight="true" outlineLevel="0" collapsed="false">
      <c r="A9" s="6" t="s">
        <v>303</v>
      </c>
      <c r="B9" s="16" t="s">
        <v>304</v>
      </c>
      <c r="C9" s="16" t="s">
        <v>305</v>
      </c>
      <c r="D9" s="16" t="s">
        <v>306</v>
      </c>
      <c r="E9" s="6" t="s">
        <v>307</v>
      </c>
      <c r="F9" s="17" t="s">
        <v>236</v>
      </c>
    </row>
    <row r="10" customFormat="false" ht="61.5" hidden="false" customHeight="true" outlineLevel="0" collapsed="false">
      <c r="A10" s="6" t="s">
        <v>308</v>
      </c>
      <c r="B10" s="16" t="s">
        <v>304</v>
      </c>
      <c r="C10" s="16" t="s">
        <v>309</v>
      </c>
      <c r="D10" s="16" t="s">
        <v>310</v>
      </c>
      <c r="E10" s="6" t="s">
        <v>311</v>
      </c>
      <c r="F10" s="17" t="s">
        <v>236</v>
      </c>
    </row>
    <row r="11" customFormat="false" ht="61.5" hidden="false" customHeight="true" outlineLevel="0" collapsed="false">
      <c r="A11" s="6" t="s">
        <v>312</v>
      </c>
      <c r="B11" s="16" t="s">
        <v>313</v>
      </c>
      <c r="C11" s="16" t="s">
        <v>314</v>
      </c>
      <c r="D11" s="16" t="s">
        <v>315</v>
      </c>
      <c r="E11" s="6" t="s">
        <v>316</v>
      </c>
      <c r="F11" s="17" t="s">
        <v>236</v>
      </c>
    </row>
    <row r="12" customFormat="false" ht="61.5" hidden="false" customHeight="true" outlineLevel="0" collapsed="false">
      <c r="A12" s="6" t="s">
        <v>317</v>
      </c>
      <c r="B12" s="16" t="s">
        <v>318</v>
      </c>
      <c r="C12" s="16" t="s">
        <v>319</v>
      </c>
      <c r="D12" s="16" t="s">
        <v>320</v>
      </c>
      <c r="E12" s="6" t="s">
        <v>321</v>
      </c>
      <c r="F12" s="17" t="s">
        <v>236</v>
      </c>
    </row>
  </sheetData>
  <dataValidations count="1">
    <dataValidation allowBlank="true" errorStyle="stop" operator="between" showDropDown="false" showErrorMessage="false" showInputMessage="false" sqref="F5:F12" type="list">
      <formula1>"Open,Addressed,Verified"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2026-08-13T13:18:08Z</dcterms:created>
  <dc:creator>openpyxl</dc:creator>
  <dc:description/>
  <dc:language>en-US</dc:language>
  <cp:lastModifiedBy/>
  <dcterms:modified xsi:type="dcterms:W3CDTF">2026-08-13T13:50:45Z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