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<sst xmlns="http://schemas.openxmlformats.org/spreadsheetml/2006/main" count="1502" uniqueCount="906">
  <si>
    <t xml:space="preserve">HilotSpa — Progress Summary</t>
  </si>
  <si>
    <t xml:space="preserve">Live formulas over the Tasks and Bugs sheets. Values last recalculated 2026-08-28 (probes + health endpoint).</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</si>
  <si>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</si>
  <si>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</si>
  <si>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</si>
  <si>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</si>
  <si>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</si>
  <si>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</si>
  <si>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</si>
  <si>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</si>
  <si>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</si>
  <si>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</si>
  <si>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</si>
  <si>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</si>
  <si>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</si>
  <si>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</si>
  <si>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</si>
  <si>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</si>
  <si>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</si>
  <si>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</si>
  <si>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</si>
  <si>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</si>
  <si>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</si>
  <si>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</si>
  <si>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</si>
  <si>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</si>
  <si>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</si>
  <si>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</si>
  <si>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</si>
  <si>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</si>
  <si>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</si>
  <si>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</si>
  <si>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</si>
  <si>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</si>
  <si>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</si>
  <si>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</si>
  <si>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</si>
  <si>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</si>
  <si>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</si>
  <si>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</si>
  <si>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</si>
  <si>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</si>
  <si>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</si>
  <si>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</si>
  <si>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</si>
  <si>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</si>
  <si>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</si>
  <si>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</si>
  <si>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</si>
  <si>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</si>
  <si>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</si>
  <si>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</si>
  <si>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</si>
  <si>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</si>
  <si>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</si>
  <si>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</si>
  <si>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</si>
  <si>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</si>
  <si>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</si>
  <si>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</si>
  <si>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</si>
  <si>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</si>
  <si>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</si>
  <si>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</si>
  <si>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</si>
  <si>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</si>
  <si>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</si>
  <si>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</si>
  <si>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</si>
  <si>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</si>
  <si>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</si>
  <si>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</si>
  <si>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</si>
  <si>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</si>
  <si>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</si>
  <si>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</si>
  <si>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</si>
  <si>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</si>
  <si>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</si>
  <si>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</si>
  <si>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</si>
  <si>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</si>
  <si>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</si>
  <si>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</si>
  <si>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</si>
  <si>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</si>
  <si>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</si>
  <si>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</si>
  <si>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</si>
  <si>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</si>
  <si>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</si>
  <si>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Process Rule #4.</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</si>
  <si>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</si>
  <si>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</si>
  <si>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</si>
  <si>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</si>
  <si>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</si>
  <si>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</si>
  <si>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</si>
  <si>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</si>
  <si>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</si>
  <si>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</si>
  <si>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</si>
  <si>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</si>
  <si>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</si>
  <si>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</si>
  <si>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</si>
  <si>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</si>
  <si>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</si>
  <si>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</si>
  <si>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</si>
  <si>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</si>
  <si>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</si>
  <si>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</si>
  <si>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</si>
  <si>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</si>
  <si>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</si>
  <si>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</si>
  <si>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</si>
  <si>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Closed 2026-08-30. Prompt rule: mirror the client - Taglish for Taglish, Filipino for Filipino, po/opo kept. Service names and slot labels explicitly never translated, because a translated time is a misquoted time. Cited reference [35] is now a built feature, not just a citation.</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</si>
  <si>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</si>
  <si>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</si>
  <si>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</si>
  <si>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</si>
  <si>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</si>
  <si>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</si>
  <si>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</si>
  <si>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</si>
  <si>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</si>
  <si>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</si>
  <si>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</si>
  <si>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</si>
  <si>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</si>
  <si>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</si>
  <si>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</si>
  <si>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</si>
  <si>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</si>
  <si>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</si>
  <si>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</si>
  <si>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</si>
  <si>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</si>
  <si>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</si>
  <si>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</si>
  <si>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</si>
  <si>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</si>
  <si>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</si>
  <si>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</si>
  <si>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</si>
  <si>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</si>
  <si>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</si>
  <si>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</si>
  <si>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</si>
  <si>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</si>
  <si>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</si>
  <si>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</si>
  <si>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</si>
  <si>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</si>
  <si>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</si>
  <si>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</si>
  <si>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</si>
  <si>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</si>
  <si>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</si>
  <si>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</si>
  <si>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</si>
  <si>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</si>
  <si>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</si>
  <si>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</si>
  <si>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</si>
  <si>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</si>
  <si>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</si>
  <si>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</si>
  <si>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</si>
  <si>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</si>
  <si>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</si>
  <si>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</si>
  <si>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</si>
  <si>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</si>
  <si>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</si>
  <si>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</si>
  <si>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</si>
  <si>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</si>
  <si>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</si>
  <si>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</si>
  <si>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</si>
  <si>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</si>
  <si>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</si>
  <si>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</si>
  <si>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</si>
  <si>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</si>
  <si>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</si>
  <si>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</si>
  <si>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</si>
  <si>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</si>
  <si>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</si>
  <si>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</si>
  <si>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</si>
  <si>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</si>
  <si>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</si>
  <si>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</si>
  <si>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</si>
  <si>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</si>
  <si>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</si>
  <si>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</si>
  <si>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</si>
  <si>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</si>
  <si>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</si>
  <si>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</si>
  <si>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</si>
  <si>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</si>
  <si>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</si>
  <si>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S1, S3, S4 and S5 are real as of 2026-08-26. Only S2 (the waiting queue) is not built - it needs a walk_in table holding arrival time and waiting order, which an appointment row cannot stand in for.</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</si>
  <si>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</si>
  <si>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</si>
  <si>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</si>
  <si>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</si>
  <si>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</si>
  <si>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</si>
  <si>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</si>
  <si>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</si>
  <si>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</si>
  <si>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</si>
  <si>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</si>
  <si>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</si>
  <si>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</si>
  <si>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</si>
  <si>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</si>
  <si>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</si>
  <si>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</si>
  <si>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</si>
  <si>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</si>
  <si>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</si>
  <si>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</si>
  <si>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</si>
  <si>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</si>
  <si>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</si>
  <si>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</si>
  <si>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</si>
  <si>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</si>
  <si>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</si>
  <si>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</si>
  <si>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</si>
  <si>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</si>
  <si>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</si>
  <si>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</si>
  <si>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</si>
  <si>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</si>
  <si>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</si>
  <si>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</si>
  <si>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</si>
  <si>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</si>
  <si>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</si>
  <si>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</si>
  <si>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</si>
  <si>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</si>
  <si>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</si>
  <si>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</si>
  <si>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</si>
  <si>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</si>
  <si>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</si>
  <si>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</si>
  <si>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</si>
  <si>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</si>
  <si>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A thesis artefact should not float. A breaking n8n release in October would break the defence demo silently.</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</si>
  <si>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</si>
  <si>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</si>
  <si>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</si>
  <si>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</si>
  <si>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</si>
  <si>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</si>
  <si>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</si>
  <si>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</si>
  <si>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</si>
  <si>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</si>
  <si>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</si>
  <si>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Imported and published; blocked behind the same Vertex credential as 2.14.</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</si>
  <si>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</si>
  <si>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</si>
  <si>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</si>
  <si>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</si>
  <si>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</si>
  <si>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</si>
  <si>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</si>
  <si>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</si>
  <si>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</si>
  <si>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</si>
  <si>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</si>
  <si>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</si>
  <si>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</si>
  <si>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</si>
  <si>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</si>
  <si>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SPRING SIDE DONE 2026-08-28: every call carries X-HilotSpa-Key, and the app logs a WARN at every startup while the secret is unset rather than failing quietly open. STILL OUTSTANDING: generate the secret, put it in .env, create the n8n Header Auth credential and point both Webhook nodes at it - written up as Step 15 in n8n/SETUP.md with the curl that proves the door is shut (403 = correct). The health endpoint reports Webhook authentication as DEGRADED until this is done.</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</si>
  <si>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</si>
  <si>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</si>
  <si>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</si>
  <si>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</si>
  <si>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</si>
  <si>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</si>
  <si>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</si>
  <si>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</si>
  <si>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</si>
  <si>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</si>
  <si>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</si>
  <si>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</si>
  <si>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</si>
  <si>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</si>
  <si>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</si>
  <si>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</si>
  <si>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</si>
  <si>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</si>
  <si>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</si>
  <si>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</si>
  <si>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</si>
  <si>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</si>
  <si>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</si>
  <si>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</si>
  <si>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</si>
  <si>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</si>
  <si>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</si>
  <si>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</si>
  <si>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</si>
  <si>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</si>
  <si>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</si>
  <si>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</si>
  <si>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</si>
  <si>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</si>
  <si>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</si>
  <si>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</si>
  <si>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</si>
  <si>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</si>
  <si>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</si>
  <si>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</si>
  <si>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</si>
  <si>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</si>
  <si>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</si>
  <si>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4 of 5 real (S1, S3, S4, S5). S2 needs a walk_in table for arrival order - see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</si>
  <si>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</si>
  <si>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</si>
  <si>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</si>
  <si>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</si>
  <si>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</si>
  <si>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</si>
  <si>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</si>
  <si>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The credential is the only piece that cannot be rebuilt from git. Backup command is in n8n/SETUP.md.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</si>
  <si>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</si>
  <si>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</si>
  <si>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</si>
  <si>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</si>
  <si>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</si>
  <si>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</si>
  <si>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</si>
  <si>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PARTLY VERIFIED: a real conversational booking exists (6A6E5CD8). Still unrun and unscreenshotted: the same request twice yielding ONE appointment, the 409-with-alternatives path, and the agent refusing a slotId not on the list. That last row is the safety claim shown rather than argued.</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</si>
  <si>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</si>
  <si>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</si>
  <si>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</si>
  <si>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</si>
  <si>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</si>
  <si>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</si>
  <si>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</si>
  <si>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STARTED - 2 of 10 treatments now priced (Signature Massage 60 at PHP 500), entered through the new A4 Service menu tab rather than the seeder. 8 still unpriced; the assistant correctly says the price is not on file for those. CRITICAL PATH until all ten are in.</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</si>
  <si>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</si>
  <si>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</si>
  <si>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</si>
  <si>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</si>
  <si>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</si>
  <si>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</si>
  <si>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</si>
  <si>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</si>
  <si>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</si>
  <si>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</si>
  <si>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</si>
  <si>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</si>
  <si>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</si>
  <si>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</si>
  <si>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</si>
  <si>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</si>
  <si>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</si>
  <si>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</si>
  <si>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</si>
  <si>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</si>
  <si>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</si>
  <si>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</si>
  <si>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</si>
  <si>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</si>
  <si>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</si>
  <si>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</si>
  <si>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</si>
  <si>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</si>
  <si>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</si>
  <si>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</si>
  <si>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</si>
  <si>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</si>
  <si>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0.16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</si>
  <si>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</si>
  <si>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</si>
  <si>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t>
  </si>
  <si>
    <t xml:space="preserve">0.17</t>
  </si>
  <si>
    <t xml:space="preserve">Operational health endpoint</t>
  </si>
  <si>
    <t xml:space="preserve">GET /api/v1/admin/health - seven checks (database, therapists+rooms, n8n, assistant, protocol, prices, webhook auth). 503 when DOWN so a monitor need not parse the body. Rendered at the top of A1.</t>
  </si>
  <si>
    <t xml:space="preserve">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</si>
  <si>
    <t xml:space="preserve">0.18</t>
  </si>
  <si>
    <t xml:space="preserve">GitHub Actions - run the tests on push</t>
  </si>
  <si>
    <t xml:space="preserve">Build the backend and run the 23 integration tests on every push. Needs a Postgres service container.</t>
  </si>
  <si>
    <t xml:space="preserve">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</si>
  <si>
    <t xml:space="preserve">2.34</t>
  </si>
  <si>
    <t xml:space="preserve">Slot coverage across the whole booking window</t>
  </si>
  <si>
    <t xml:space="preserve">spread() offers the earliest time on EVERY open day before any day gets a second, plus a middle-of-day time; the focused service is sent at FULL calendar resolution so a specific hour can be answered truthfully. B89 + B91.</t>
  </si>
  <si>
    <t xml:space="preserve">Built 2026-08-30. Serves the Scope bullet "Analyzing available time, dates, and resources" - which the old first-8-chronological rule did not.</t>
  </si>
  <si>
    <t xml:space="preserve">2.35</t>
  </si>
  <si>
    <t xml:space="preserve">Reuse an earlier assessment from /book itself</t>
  </si>
  <si>
    <t xml:space="preserve">Reaching /book with no formId was a dead end reachable from Home. It now loads history and offers the 60-day reuse copy in place. B90.</t>
  </si>
  <si>
    <t xml:space="preserve">Built 2026-08-30.</t>
  </si>
  <si>
    <t xml:space="preserve">2.36</t>
  </si>
  <si>
    <t xml:space="preserve">Rule 4 - no overlap with the CUSTOMER'S OWN bookings</t>
  </si>
  <si>
    <t xml:space="preserve">book() only guards against an identical repeat (same service, same minute). Nothing stops one client holding a 9:00 Signature and a 9:00 Ventosa - different therapist, different room, one person in two places.</t>
  </si>
  <si>
    <t xml:space="preserve">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</si>
  <si>
    <t xml:space="preserve">2.37</t>
  </si>
  <si>
    <t xml:space="preserve">Database-level exclusion constraint on overlapping appointments</t>
  </si>
  <si>
    <t xml:space="preserve">EXCLUDE USING gist (therapist_id WITH =, tsrange(start_time,end_time) WITH &amp;&amp;) WHERE status IN (PENDING,CONFIRMED,IN_PROGRESS), plus the same for room_id. Needs btree_gist.</t>
  </si>
  <si>
    <t xml:space="preserve">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</si>
  <si>
    <t xml:space="preserve">2.38</t>
  </si>
  <si>
    <t xml:space="preserve">Decide whether TherapistStatus is honoured or dropped</t>
  </si>
  <si>
    <t xml:space="preserve">AVAILABLE / BUSY / ON_BREAK / OFF_DUTY is set on the staff screen and counted on the admin overview, but availability filters on active only - an OFF_DUTY therapist is still bookable.</t>
  </si>
  <si>
    <t xml:space="preserve">Either consult it in anyFree()/assign() or remove it from the screens. A visible control that does nothing is worse than no control.</t>
  </si>
  <si>
    <t xml:space="preserve">2.39</t>
  </si>
  <si>
    <t xml:space="preserve">Session report shows the visit, not just the form (B92)</t>
  </si>
  <si>
    <t xml:space="preserve">AppointmentRepository.findByFormId / findByFormIdIn, FormsModel.Visit, one batched query for a history page, toLog() reads it.</t>
  </si>
  <si>
    <t xml:space="preserve">Built 2026-08-30. The Chapter IV outcome surface: a before/after pain score can now name the treatment, practitioner and room that produced it.</t>
  </si>
  <si>
    <t xml:space="preserve">Walk-in pre-assessment (B85)</t>
  </si>
  <si>
    <t xml:space="preserve">Forms.user nullable + walkInName + forms_has_a_client check constraint; staff create path; WalkInRequest.formId joins the counter assessment to the visit.</t>
  </si>
  <si>
    <t xml:space="preserve">1.18</t>
  </si>
  <si>
    <t xml:space="preserve">Honest loading and error states</t>
  </si>
  <si>
    <t xml:space="preserve">Home and the session report gated on loaded(), plus BookingStore.unreachable so an empty list can say WHY it is empty.</t>
  </si>
  <si>
    <t xml:space="preserve">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</si>
  <si>
    <t xml:space="preserve">1.19</t>
  </si>
  <si>
    <t xml:space="preserve">Printable session record</t>
  </si>
  <si>
    <t xml:space="preserve">@media print on /report/:id plus a Print or save as PDF button. window.print(), no library, no server round trip, works offline.</t>
  </si>
  <si>
    <t xml:space="preserve">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</si>
  <si>
    <t xml:space="preserve">1.20</t>
  </si>
  <si>
    <t xml:space="preserve">H9 / B44 - safety checklist and pressure as real data</t>
  </si>
  <si>
    <t xml:space="preserve">SafetyFlag enum (10 constants, displayName verbatim from the form), PressurePreference enum, forms_safety_flag element collection, both carried through the transformer, the reuse copy, and the assistant payload.</t>
  </si>
  <si>
    <t xml:space="preserve">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</si>
  <si>
    <t xml:space="preserve">0.19</t>
  </si>
  <si>
    <t xml:space="preserve">Flyway migration discipline documented</t>
  </si>
  <si>
    <t xml:space="preserve">db/migration/README.md - never edit an applied migration, one concern per file, every entity change ships its migration in the same commit, migrations must be safe on a populated database.</t>
  </si>
  <si>
    <t xml:space="preserve">Written 2026-08-30 alongside 0.7. The rules exist because ddl-auto=validate now fails the boot when an entity and the migrations disagree - which is the point, but only helps if the next person knows why.</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</si>
  <si>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</si>
  <si>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</si>
  <si>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</si>
  <si>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</si>
  <si>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</si>
  <si>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</si>
  <si>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</si>
  <si>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</si>
  <si>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</si>
  <si>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</si>
  <si>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</si>
  <si>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</si>
  <si>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</si>
  <si>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</si>
  <si>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</si>
  <si>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</si>
  <si>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</si>
  <si>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</si>
  <si>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</si>
  <si>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</si>
  <si>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</si>
  <si>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</si>
  <si>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</si>
  <si>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</si>
  <si>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</si>
  <si>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</si>
  <si>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</si>
  <si>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</si>
  <si>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</si>
  <si>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</si>
  <si>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</si>
  <si>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</si>
  <si>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</si>
  <si>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</si>
  <si>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</si>
  <si>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</si>
  <si>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</si>
  <si>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</si>
  <si>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</si>
  <si>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</si>
  <si>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</si>
  <si>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</si>
  <si>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</si>
  <si>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</si>
  <si>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</si>
  <si>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</si>
  <si>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</si>
  <si>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</si>
  <si>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</si>
  <si>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</si>
  <si>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</si>
  <si>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</si>
  <si>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</si>
  <si>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</si>
  <si>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</si>
  <si>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</si>
  <si>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</si>
  <si>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</si>
  <si>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</si>
  <si>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</si>
  <si>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</si>
  <si>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</si>
  <si>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</si>
  <si>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</si>
  <si>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</si>
  <si>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</si>
  <si>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</si>
  <si>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</si>
  <si>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</si>
  <si>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</si>
  <si>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</si>
  <si>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</si>
  <si>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</si>
  <si>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</si>
  <si>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</si>
  <si>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</si>
  <si>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</si>
  <si>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</si>
  <si>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</si>
  <si>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</si>
  <si>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</si>
  <si>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</si>
  <si>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</si>
  <si>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</si>
  <si>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</si>
  <si>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</si>
  <si>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</si>
  <si>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</si>
  <si>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</si>
  <si>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</si>
  <si>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</si>
  <si>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</si>
  <si>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</si>
  <si>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</si>
  <si>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</si>
  <si>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</si>
  <si>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</si>
  <si>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</si>
  <si>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</si>
  <si>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</si>
  <si>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</si>
  <si>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</si>
  <si>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</si>
  <si>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</si>
  <si>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</si>
  <si>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</si>
  <si>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</si>
  <si>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</si>
  <si>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</si>
  <si>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</si>
  <si>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</si>
  <si>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</si>
  <si>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</si>
  <si>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</si>
  <si>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</si>
  <si>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</si>
  <si>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</si>
  <si>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</si>
  <si>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</si>
  <si>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</si>
  <si>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</si>
  <si>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</si>
  <si>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</si>
  <si>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</si>
  <si>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</si>
  <si>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</si>
  <si>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</si>
  <si>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</si>
  <si>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</si>
  <si>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</si>
  <si>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</si>
  <si>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</si>
  <si>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</si>
  <si>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</si>
  <si>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</si>
  <si>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</si>
  <si>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</si>
  <si>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</si>
  <si>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</si>
  <si>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</si>
  <si>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</si>
  <si>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</si>
  <si>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</si>
  <si>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</si>
  <si>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</si>
  <si>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</si>
  <si>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</si>
  <si>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</si>
  <si>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</si>
  <si>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</si>
  <si>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</si>
  <si>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</si>
  <si>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</si>
  <si>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</si>
  <si>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</si>
  <si>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</si>
  <si>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</si>
  <si>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</si>
  <si>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</si>
  <si>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</si>
  <si>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</si>
  <si>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</si>
  <si>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</si>
  <si>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</si>
  <si>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</si>
  <si>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</si>
  <si>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</si>
  <si>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</si>
  <si>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</si>
  <si>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</si>
  <si>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</si>
  <si>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</si>
  <si>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</si>
  <si>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</si>
  <si>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</si>
  <si>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</si>
  <si>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 | Fixed 2026-08-30 - see task 1.20. remarks is free text again; assessments written before this date still carry the old "Flagged: ... | Preferred pressure: ..." sentences.</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</si>
  <si>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</si>
  <si>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</si>
  <si>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 | Fixed 2026-08-30.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</si>
  <si>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</si>
  <si>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</si>
  <si>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</si>
  <si>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</si>
  <si>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</si>
  <si>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</si>
  <si>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</si>
  <si>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</si>
  <si>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</si>
  <si>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</si>
  <si>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</si>
  <si>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</si>
  <si>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</si>
  <si>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</si>
  <si>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</si>
  <si>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</si>
  <si>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</si>
  <si>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</si>
  <si>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</si>
  <si>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</si>
  <si>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</si>
  <si>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</si>
  <si>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</si>
  <si>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</si>
  <si>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</si>
  <si>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</si>
  <si>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</si>
  <si>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</si>
  <si>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</si>
  <si>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</si>
  <si>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</si>
  <si>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</si>
  <si>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</si>
  <si>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</si>
  <si>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</si>
  <si>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</si>
  <si>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</si>
  <si>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</si>
  <si>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</si>
  <si>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</si>
  <si>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</si>
  <si>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</si>
  <si>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</si>
  <si>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</si>
  <si>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</si>
  <si>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</si>
  <si>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</si>
  <si>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</si>
  <si>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</si>
  <si>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</si>
  <si>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</si>
  <si>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</si>
  <si>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</si>
  <si>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</si>
  <si>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</si>
  <si>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</si>
  <si>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</si>
  <si>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</si>
  <si>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</si>
  <si>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</si>
  <si>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</si>
  <si>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</si>
  <si>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</si>
  <si>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</si>
  <si>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</si>
  <si>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</si>
  <si>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</si>
  <si>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</si>
  <si>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</si>
  <si>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</si>
  <si>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</si>
  <si>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</si>
  <si>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</si>
  <si>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</si>
  <si>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</si>
  <si>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</si>
  <si>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</si>
  <si>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</si>
  <si>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</si>
  <si>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</si>
  <si>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</si>
  <si>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</si>
  <si>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</si>
  <si>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</si>
  <si>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</si>
  <si>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</si>
  <si>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</si>
  <si>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</si>
  <si>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</si>
  <si>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</si>
  <si>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1.15</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</si>
  <si>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</si>
  <si>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</si>
  <si>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</si>
  <si>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</si>
  <si>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</si>
  <si>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</si>
  <si>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</si>
  <si>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</si>
  <si>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</si>
  <si>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</si>
  <si>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</si>
  <si>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</si>
  <si>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</si>
  <si>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</si>
  <si>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</si>
  <si>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</si>
  <si>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</si>
  <si>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</si>
  <si>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</si>
  <si>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</si>
  <si>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</si>
  <si>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</si>
  <si>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</si>
  <si>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</si>
  <si>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</si>
  <si>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</si>
  <si>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</si>
  <si>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</si>
  <si>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</si>
  <si>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</si>
  <si>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</si>
  <si>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</si>
  <si>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</si>
  <si>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</si>
  <si>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</si>
  <si>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</si>
  <si>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</si>
  <si>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</si>
  <si>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</si>
  <si>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</si>
  <si>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</si>
  <si>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</si>
  <si>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</si>
  <si>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</si>
  <si>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</si>
  <si>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</si>
  <si>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</si>
  <si>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</si>
  <si>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</si>
  <si>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</si>
  <si>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</si>
  <si>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</si>
  <si>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</si>
  <si>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</si>
  <si>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</si>
  <si>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</si>
  <si>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</si>
  <si>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</si>
  <si>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</si>
  <si>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</si>
  <si>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</si>
  <si>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</si>
  <si>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</si>
  <si>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</si>
  <si>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</si>
  <si>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</si>
  <si>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</si>
  <si>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</si>
  <si>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</si>
  <si>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</si>
  <si>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</si>
  <si>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B87</t>
  </si>
  <si>
    <t xml:space="preserve">n8n/chat-build-context.js</t>
  </si>
  <si>
    <t xml:space="preserve">The assistant quoted "PHP 0" to a client. The prompt is handed the raw price and told never to quote any other figure, and every treatment seeds at 0.00 until the spa hands over its rate card - so the model faithfully told a client a 30-minute treatment costs nothing.</t>
  </si>
  <si>
    <t xml:space="preserve">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</si>
  <si>
    <t xml:space="preserve">B88</t>
  </si>
  <si>
    <t xml:space="preserve">The assistant told clients "we do not offer acupuncture here at HilotSpa". The establishment trades as Knead Wellness Spa - the branches, the sidebar and every booking confirmation already say so, so a client got a confirmation from one business and a conversation from another.</t>
  </si>
  <si>
    <t xml:space="preserve">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</si>
  <si>
    <t xml:space="preserve">B89</t>
  </si>
  <si>
    <t xml:space="preserve">AssistantServiceImpl.bookableSlots()</t>
  </si>
  <si>
    <t xml:space="preserve">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</si>
  <si>
    <t xml:space="preserve">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</si>
  <si>
    <t xml:space="preserve">B90</t>
  </si>
  <si>
    <t xml:space="preserve">pages/book (C9)</t>
  </si>
  <si>
    <t xml:space="preserve">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</si>
  <si>
    <t xml:space="preserve">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</si>
  <si>
    <t xml:space="preserve">B91</t>
  </si>
  <si>
    <t xml:space="preserve">AssistantServiceImpl / n8n chat prompt</t>
  </si>
  <si>
    <t xml:space="preserve">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</si>
  <si>
    <t xml:space="preserve">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</si>
  <si>
    <t xml:space="preserve">B92</t>
  </si>
  <si>
    <t xml:space="preserve">booking.store.ts toLog() / session-report (C11)</t>
  </si>
  <si>
    <t xml:space="preserve">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</si>
  <si>
    <t xml:space="preserve">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</si>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</sst>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COUNTIF(Tasks!$A$5:$A$110,$A5)</f>
        <v>19</v>
      </c>
      <c r="C5" s="6" t="n">
        <f aca="false">COUNTIFS(Tasks!$A$5:$A$110,$A5,Tasks!$E$5:$E$110,"Done")</f>
        <v>17</v>
      </c>
      <c r="D5" s="6" t="n">
        <f aca="false">COUNTIFS(Tasks!$A$5:$A$110,$A5,Tasks!$E$5:$E$110,"In Progress")</f>
        <v>0</v>
      </c>
      <c r="E5" s="6" t="n">
        <f aca="false">COUNTIFS(Tasks!$A$5:$A$110,$A5,Tasks!$E$5:$E$110,"Not Started")</f>
        <v>2</v>
      </c>
      <c r="F5" s="6" t="n">
        <f aca="false">COUNTIFS(Tasks!$A$5:$A$110,$A5,Tasks!$E$5:$E$110,"Blocked")</f>
        <v>0</v>
      </c>
      <c r="G5" s="7" t="n">
        <f aca="false">IFERROR($C5/$B5,0)</f>
        <v>0.894736842105263</v>
      </c>
    </row>
    <row r="6" customFormat="false" ht="15" hidden="false" customHeight="true" outlineLevel="0" collapsed="false">
      <c r="A6" s="5" t="s">
        <v>10</v>
      </c>
      <c r="B6" s="6" t="n">
        <f aca="false">COUNTIF(Tasks!$A$5:$A$110,$A6)</f>
        <v>20</v>
      </c>
      <c r="C6" s="6" t="n">
        <f aca="false">COUNTIFS(Tasks!$A$5:$A$110,$A6,Tasks!$E$5:$E$110,"Done")</f>
        <v>20</v>
      </c>
      <c r="D6" s="6" t="n">
        <f aca="false">COUNTIFS(Tasks!$A$5:$A$110,$A6,Tasks!$E$5:$E$110,"In Progress")</f>
        <v>0</v>
      </c>
      <c r="E6" s="6" t="n">
        <f aca="false">COUNTIFS(Tasks!$A$5:$A$110,$A6,Tasks!$E$5:$E$110,"Not Started")</f>
        <v>0</v>
      </c>
      <c r="F6" s="6" t="n">
        <f aca="false">COUNTIFS(Tasks!$A$5:$A$110,$A6,Tasks!$E$5:$E$110,"Blocked")</f>
        <v>0</v>
      </c>
      <c r="G6" s="7" t="n">
        <f aca="false">IFERROR($C6/$B6,0)</f>
        <v>1</v>
      </c>
    </row>
    <row r="7" customFormat="false" ht="15" hidden="false" customHeight="true" outlineLevel="0" collapsed="false">
      <c r="A7" s="5" t="s">
        <v>11</v>
      </c>
      <c r="B7" s="6" t="n">
        <f aca="false">COUNTIF(Tasks!$A$5:$A$110,$A7)</f>
        <v>39</v>
      </c>
      <c r="C7" s="6" t="n">
        <f aca="false">COUNTIFS(Tasks!$A$5:$A$110,$A7,Tasks!$E$5:$E$110,"Done")</f>
        <v>34</v>
      </c>
      <c r="D7" s="6" t="n">
        <f aca="false">COUNTIFS(Tasks!$A$5:$A$110,$A7,Tasks!$E$5:$E$110,"In Progress")</f>
        <v>3</v>
      </c>
      <c r="E7" s="6" t="n">
        <f aca="false">COUNTIFS(Tasks!$A$5:$A$110,$A7,Tasks!$E$5:$E$110,"Not Started")</f>
        <v>2</v>
      </c>
      <c r="F7" s="6" t="n">
        <f aca="false">COUNTIFS(Tasks!$A$5:$A$110,$A7,Tasks!$E$5:$E$110,"Blocked")</f>
        <v>0</v>
      </c>
      <c r="G7" s="7" t="n">
        <f aca="false">IFERROR($C7/$B7,0)</f>
        <v>0.871794871794872</v>
      </c>
    </row>
    <row r="8" customFormat="false" ht="15" hidden="false" customHeight="true" outlineLevel="0" collapsed="false">
      <c r="A8" s="5" t="s">
        <v>12</v>
      </c>
      <c r="B8" s="6" t="n">
        <f aca="false">COUNTIF(Tasks!$A$5:$A$110,$A8)</f>
        <v>15</v>
      </c>
      <c r="C8" s="6" t="n">
        <f aca="false">COUNTIFS(Tasks!$A$5:$A$110,$A8,Tasks!$E$5:$E$110,"Done")</f>
        <v>4</v>
      </c>
      <c r="D8" s="6" t="n">
        <f aca="false">COUNTIFS(Tasks!$A$5:$A$110,$A8,Tasks!$E$5:$E$110,"In Progress")</f>
        <v>6</v>
      </c>
      <c r="E8" s="6" t="n">
        <f aca="false">COUNTIFS(Tasks!$A$5:$A$110,$A8,Tasks!$E$5:$E$110,"Not Started")</f>
        <v>5</v>
      </c>
      <c r="F8" s="6" t="n">
        <f aca="false">COUNTIFS(Tasks!$A$5:$A$110,$A8,Tasks!$E$5:$E$110,"Blocked")</f>
        <v>0</v>
      </c>
      <c r="G8" s="7" t="n">
        <f aca="false">IFERROR($C8/$B8,0)</f>
        <v>0.266666666666667</v>
      </c>
    </row>
    <row r="9" customFormat="false" ht="15" hidden="false" customHeight="true" outlineLevel="0" collapsed="false">
      <c r="A9" s="5" t="s">
        <v>13</v>
      </c>
      <c r="B9" s="6" t="n">
        <f aca="false">COUNTIF(Tasks!$A$5:$A$110,$A9)</f>
        <v>13</v>
      </c>
      <c r="C9" s="6" t="n">
        <f aca="false">COUNTIFS(Tasks!$A$5:$A$110,$A9,Tasks!$E$5:$E$110,"Done")</f>
        <v>1</v>
      </c>
      <c r="D9" s="6" t="n">
        <f aca="false">COUNTIFS(Tasks!$A$5:$A$110,$A9,Tasks!$E$5:$E$110,"In Progress")</f>
        <v>1</v>
      </c>
      <c r="E9" s="6" t="n">
        <f aca="false">COUNTIFS(Tasks!$A$5:$A$110,$A9,Tasks!$E$5:$E$110,"Not Started")</f>
        <v>11</v>
      </c>
      <c r="F9" s="6" t="n">
        <f aca="false">COUNTIFS(Tasks!$A$5:$A$110,$A9,Tasks!$E$5:$E$110,"Blocked")</f>
        <v>0</v>
      </c>
      <c r="G9" s="7" t="n">
        <f aca="false">IFERROR($C9/$B9,0)</f>
        <v>0.0769230769230769</v>
      </c>
    </row>
    <row r="10" customFormat="false" ht="15" hidden="false" customHeight="true" outlineLevel="0" collapsed="false">
      <c r="A10" s="8" t="s">
        <v>14</v>
      </c>
      <c r="B10" s="9" t="n">
        <f aca="false">SUM(B5:B9)</f>
        <v>106</v>
      </c>
      <c r="C10" s="9" t="n">
        <f aca="false">SUM(C5:C9)</f>
        <v>76</v>
      </c>
      <c r="D10" s="9" t="n">
        <f aca="false">SUM(D5:D9)</f>
        <v>10</v>
      </c>
      <c r="E10" s="9" t="n">
        <f aca="false">SUM(E5:E9)</f>
        <v>20</v>
      </c>
      <c r="F10" s="9" t="n">
        <f aca="false">SUM(F5:F9)</f>
        <v>0</v>
      </c>
      <c r="G10" s="10" t="n">
        <f aca="false">IFERROR($C10/$B10,0)</f>
        <v>0.716981132075472</v>
      </c>
    </row>
    <row r="12" customFormat="false" ht="15" hidden="false" customHeight="true" outlineLevel="0" collapsed="false">
      <c r="A12" s="11" t="s">
        <v>15</v>
      </c>
      <c r="B12" s="12" t="n">
        <f aca="false">COUNTIF(Bugs!$F:$F,"Open")</f>
        <v>8</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4</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6</v>
      </c>
      <c r="F20" s="13"/>
      <c r="G20" s="14" t="s">
        <v>91</v>
      </c>
    </row>
    <row r="21" customFormat="false" ht="15" hidden="false" customHeight="true" outlineLevel="0" collapsed="false">
      <c r="A21" s="15" t="s">
        <v>11</v>
      </c>
      <c r="B21" s="6" t="s">
        <v>92</v>
      </c>
      <c r="C21" s="16" t="s">
        <v>93</v>
      </c>
      <c r="D21" s="16" t="s">
        <v>94</v>
      </c>
      <c r="E21" s="6" t="s">
        <v>4</v>
      </c>
      <c r="F21" s="6"/>
      <c r="G21" s="16" t="s">
        <v>95</v>
      </c>
    </row>
    <row r="22" customFormat="false" ht="23.25" hidden="false" customHeight="true" outlineLevel="0" collapsed="false">
      <c r="A22" s="15" t="s">
        <v>11</v>
      </c>
      <c r="B22" s="6" t="s">
        <v>96</v>
      </c>
      <c r="C22" s="16" t="s">
        <v>97</v>
      </c>
      <c r="D22" s="16" t="s">
        <v>98</v>
      </c>
      <c r="E22" s="6" t="s">
        <v>4</v>
      </c>
      <c r="F22" s="6"/>
      <c r="G22" s="16" t="s">
        <v>99</v>
      </c>
    </row>
    <row r="23" customFormat="false" ht="23.25" hidden="false" customHeight="true" outlineLevel="0" collapsed="false">
      <c r="A23" s="15" t="s">
        <v>11</v>
      </c>
      <c r="B23" s="6" t="s">
        <v>100</v>
      </c>
      <c r="C23" s="16" t="s">
        <v>101</v>
      </c>
      <c r="D23" s="16" t="s">
        <v>102</v>
      </c>
      <c r="E23" s="6" t="s">
        <v>4</v>
      </c>
      <c r="F23" s="6"/>
      <c r="G23" s="16" t="s">
        <v>103</v>
      </c>
    </row>
    <row r="24" customFormat="false" ht="15" hidden="false" customHeight="true" outlineLevel="0" collapsed="false">
      <c r="A24" s="15" t="s">
        <v>11</v>
      </c>
      <c r="B24" s="6" t="s">
        <v>104</v>
      </c>
      <c r="C24" s="16" t="s">
        <v>105</v>
      </c>
      <c r="D24" s="16" t="s">
        <v>106</v>
      </c>
      <c r="E24" s="6" t="s">
        <v>4</v>
      </c>
      <c r="F24" s="6"/>
      <c r="G24" s="16" t="s">
        <v>107</v>
      </c>
    </row>
    <row r="25" customFormat="false" ht="15" hidden="false" customHeight="true" outlineLevel="0" collapsed="false">
      <c r="A25" s="15" t="s">
        <v>11</v>
      </c>
      <c r="B25" s="6" t="s">
        <v>108</v>
      </c>
      <c r="C25" s="16" t="s">
        <v>109</v>
      </c>
      <c r="D25" s="16" t="s">
        <v>110</v>
      </c>
      <c r="E25" s="6" t="s">
        <v>4</v>
      </c>
      <c r="F25" s="6"/>
      <c r="G25" s="16" t="s">
        <v>111</v>
      </c>
    </row>
    <row r="26" customFormat="false" ht="15" hidden="false" customHeight="true" outlineLevel="0" collapsed="false">
      <c r="A26" s="15" t="s">
        <v>11</v>
      </c>
      <c r="B26" s="6" t="s">
        <v>112</v>
      </c>
      <c r="C26" s="16" t="s">
        <v>113</v>
      </c>
      <c r="D26" s="16" t="s">
        <v>114</v>
      </c>
      <c r="E26" s="6" t="s">
        <v>4</v>
      </c>
      <c r="F26" s="6"/>
      <c r="G26" s="16" t="s">
        <v>115</v>
      </c>
    </row>
    <row r="27" customFormat="false" ht="23.25" hidden="false" customHeight="true" outlineLevel="0" collapsed="false">
      <c r="A27" s="15" t="s">
        <v>11</v>
      </c>
      <c r="B27" s="6" t="s">
        <v>116</v>
      </c>
      <c r="C27" s="16" t="s">
        <v>117</v>
      </c>
      <c r="D27" s="16" t="s">
        <v>118</v>
      </c>
      <c r="E27" s="6" t="s">
        <v>4</v>
      </c>
      <c r="F27" s="6"/>
      <c r="G27" s="16" t="s">
        <v>119</v>
      </c>
    </row>
    <row r="28" customFormat="false" ht="23.25" hidden="false" customHeight="true" outlineLevel="0" collapsed="false">
      <c r="A28" s="9" t="s">
        <v>12</v>
      </c>
      <c r="B28" s="13" t="s">
        <v>120</v>
      </c>
      <c r="C28" s="14" t="s">
        <v>121</v>
      </c>
      <c r="D28" s="14" t="s">
        <v>122</v>
      </c>
      <c r="E28" s="13" t="s">
        <v>6</v>
      </c>
      <c r="F28" s="13"/>
      <c r="G28" s="14" t="s">
        <v>123</v>
      </c>
    </row>
    <row r="29" customFormat="false" ht="15" hidden="false" customHeight="true" outlineLevel="0" collapsed="false">
      <c r="A29" s="15" t="s">
        <v>12</v>
      </c>
      <c r="B29" s="6" t="s">
        <v>124</v>
      </c>
      <c r="C29" s="16" t="s">
        <v>125</v>
      </c>
      <c r="D29" s="16" t="s">
        <v>126</v>
      </c>
      <c r="E29" s="6" t="s">
        <v>6</v>
      </c>
      <c r="F29" s="6"/>
      <c r="G29" s="16"/>
    </row>
    <row r="30" customFormat="false" ht="15" hidden="false" customHeight="true" outlineLevel="0" collapsed="false">
      <c r="A30" s="15" t="s">
        <v>12</v>
      </c>
      <c r="B30" s="6" t="s">
        <v>127</v>
      </c>
      <c r="C30" s="16" t="s">
        <v>128</v>
      </c>
      <c r="D30" s="16" t="s">
        <v>129</v>
      </c>
      <c r="E30" s="6" t="s">
        <v>6</v>
      </c>
      <c r="F30" s="6"/>
      <c r="G30" s="16" t="s">
        <v>130</v>
      </c>
    </row>
    <row r="31" customFormat="false" ht="23.25" hidden="false" customHeight="true" outlineLevel="0" collapsed="false">
      <c r="A31" s="15" t="s">
        <v>12</v>
      </c>
      <c r="B31" s="6" t="s">
        <v>131</v>
      </c>
      <c r="C31" s="16" t="s">
        <v>132</v>
      </c>
      <c r="D31" s="16" t="s">
        <v>133</v>
      </c>
      <c r="E31" s="6" t="s">
        <v>5</v>
      </c>
      <c r="F31" s="6"/>
      <c r="G31" s="16" t="s">
        <v>134</v>
      </c>
    </row>
    <row r="32" customFormat="false" ht="15" hidden="false" customHeight="true" outlineLevel="0" collapsed="false">
      <c r="A32" s="15" t="s">
        <v>12</v>
      </c>
      <c r="B32" s="6" t="s">
        <v>135</v>
      </c>
      <c r="C32" s="16" t="s">
        <v>136</v>
      </c>
      <c r="D32" s="16" t="s">
        <v>137</v>
      </c>
      <c r="E32" s="6" t="s">
        <v>5</v>
      </c>
      <c r="F32" s="6"/>
      <c r="G32" s="16" t="s">
        <v>138</v>
      </c>
    </row>
    <row r="33" customFormat="false" ht="15" hidden="false" customHeight="true" outlineLevel="0" collapsed="false">
      <c r="A33" s="15" t="s">
        <v>12</v>
      </c>
      <c r="B33" s="6" t="s">
        <v>139</v>
      </c>
      <c r="C33" s="16" t="s">
        <v>140</v>
      </c>
      <c r="D33" s="16" t="s">
        <v>141</v>
      </c>
      <c r="E33" s="6" t="s">
        <v>5</v>
      </c>
      <c r="F33" s="6"/>
      <c r="G33" s="16" t="s">
        <v>142</v>
      </c>
    </row>
    <row r="34" customFormat="false" ht="23.25" hidden="false" customHeight="true" outlineLevel="0" collapsed="false">
      <c r="A34" s="15" t="s">
        <v>12</v>
      </c>
      <c r="B34" s="6" t="s">
        <v>143</v>
      </c>
      <c r="C34" s="16" t="s">
        <v>144</v>
      </c>
      <c r="D34" s="16" t="s">
        <v>145</v>
      </c>
      <c r="E34" s="6" t="s">
        <v>4</v>
      </c>
      <c r="F34" s="6"/>
      <c r="G34" s="16" t="s">
        <v>146</v>
      </c>
    </row>
    <row r="35" customFormat="false" ht="15" hidden="false" customHeight="true" outlineLevel="0" collapsed="false">
      <c r="A35" s="15" t="s">
        <v>12</v>
      </c>
      <c r="B35" s="6" t="s">
        <v>147</v>
      </c>
      <c r="C35" s="16" t="s">
        <v>148</v>
      </c>
      <c r="D35" s="16" t="s">
        <v>149</v>
      </c>
      <c r="E35" s="6" t="s">
        <v>5</v>
      </c>
      <c r="F35" s="6"/>
      <c r="G35" s="16" t="s">
        <v>150</v>
      </c>
    </row>
    <row r="36" customFormat="false" ht="15" hidden="false" customHeight="true" outlineLevel="0" collapsed="false">
      <c r="A36" s="15" t="s">
        <v>12</v>
      </c>
      <c r="B36" s="6" t="s">
        <v>151</v>
      </c>
      <c r="C36" s="16" t="s">
        <v>152</v>
      </c>
      <c r="D36" s="16" t="s">
        <v>153</v>
      </c>
      <c r="E36" s="6" t="s">
        <v>4</v>
      </c>
      <c r="F36" s="6"/>
      <c r="G36" s="16" t="s">
        <v>154</v>
      </c>
    </row>
    <row r="37" customFormat="false" ht="23.25" hidden="false" customHeight="true" outlineLevel="0" collapsed="false">
      <c r="A37" s="15" t="s">
        <v>12</v>
      </c>
      <c r="B37" s="6" t="s">
        <v>155</v>
      </c>
      <c r="C37" s="16" t="s">
        <v>156</v>
      </c>
      <c r="D37" s="16" t="s">
        <v>157</v>
      </c>
      <c r="E37" s="6" t="s">
        <v>6</v>
      </c>
      <c r="F37" s="6"/>
      <c r="G37" s="16" t="s">
        <v>158</v>
      </c>
    </row>
    <row r="38" customFormat="false" ht="15" hidden="false" customHeight="true" outlineLevel="0" collapsed="false">
      <c r="A38" s="9" t="s">
        <v>13</v>
      </c>
      <c r="B38" s="13" t="s">
        <v>159</v>
      </c>
      <c r="C38" s="14" t="s">
        <v>160</v>
      </c>
      <c r="D38" s="14" t="s">
        <v>161</v>
      </c>
      <c r="E38" s="13" t="s">
        <v>6</v>
      </c>
      <c r="F38" s="13"/>
      <c r="G38" s="14" t="s">
        <v>162</v>
      </c>
    </row>
    <row r="39" customFormat="false" ht="23.25" hidden="false" customHeight="true" outlineLevel="0" collapsed="false">
      <c r="A39" s="15" t="s">
        <v>13</v>
      </c>
      <c r="B39" s="6" t="s">
        <v>163</v>
      </c>
      <c r="C39" s="16" t="s">
        <v>164</v>
      </c>
      <c r="D39" s="16" t="s">
        <v>165</v>
      </c>
      <c r="E39" s="6" t="s">
        <v>6</v>
      </c>
      <c r="F39" s="6"/>
      <c r="G39" s="16"/>
    </row>
    <row r="40" customFormat="false" ht="23.25" hidden="false" customHeight="true" outlineLevel="0" collapsed="false">
      <c r="A40" s="15" t="s">
        <v>13</v>
      </c>
      <c r="B40" s="6" t="s">
        <v>166</v>
      </c>
      <c r="C40" s="16" t="s">
        <v>167</v>
      </c>
      <c r="D40" s="16" t="s">
        <v>168</v>
      </c>
      <c r="E40" s="6" t="s">
        <v>6</v>
      </c>
      <c r="F40" s="6"/>
      <c r="G40" s="16" t="s">
        <v>169</v>
      </c>
    </row>
    <row r="41" customFormat="false" ht="23.25" hidden="false" customHeight="true" outlineLevel="0" collapsed="false">
      <c r="A41" s="15" t="s">
        <v>13</v>
      </c>
      <c r="B41" s="6" t="s">
        <v>170</v>
      </c>
      <c r="C41" s="16" t="s">
        <v>171</v>
      </c>
      <c r="D41" s="16" t="s">
        <v>172</v>
      </c>
      <c r="E41" s="6" t="s">
        <v>6</v>
      </c>
      <c r="F41" s="6"/>
      <c r="G41" s="16" t="s">
        <v>173</v>
      </c>
    </row>
    <row r="42" customFormat="false" ht="15" hidden="false" customHeight="true" outlineLevel="0" collapsed="false">
      <c r="A42" s="15" t="s">
        <v>13</v>
      </c>
      <c r="B42" s="6" t="s">
        <v>174</v>
      </c>
      <c r="C42" s="16" t="s">
        <v>175</v>
      </c>
      <c r="D42" s="16" t="s">
        <v>176</v>
      </c>
      <c r="E42" s="6" t="s">
        <v>6</v>
      </c>
      <c r="F42" s="6"/>
      <c r="G42" s="16"/>
    </row>
    <row r="43" customFormat="false" ht="15" hidden="false" customHeight="true" outlineLevel="0" collapsed="false">
      <c r="A43" s="15" t="s">
        <v>13</v>
      </c>
      <c r="B43" s="6" t="s">
        <v>177</v>
      </c>
      <c r="C43" s="16" t="s">
        <v>178</v>
      </c>
      <c r="D43" s="16" t="s">
        <v>179</v>
      </c>
      <c r="E43" s="6" t="s">
        <v>6</v>
      </c>
      <c r="F43" s="6"/>
      <c r="G43" s="16"/>
    </row>
    <row r="44" customFormat="false" ht="15" hidden="false" customHeight="true" outlineLevel="0" collapsed="false">
      <c r="A44" s="15" t="s">
        <v>13</v>
      </c>
      <c r="B44" s="6" t="s">
        <v>180</v>
      </c>
      <c r="C44" s="16" t="s">
        <v>181</v>
      </c>
      <c r="D44" s="16" t="s">
        <v>182</v>
      </c>
      <c r="E44" s="6" t="s">
        <v>6</v>
      </c>
      <c r="F44" s="6"/>
      <c r="G44" s="16"/>
    </row>
    <row r="45" customFormat="false" ht="23.25" hidden="false" customHeight="true" outlineLevel="0" collapsed="false">
      <c r="A45" s="17" t="s">
        <v>9</v>
      </c>
      <c r="B45" s="18" t="s">
        <v>183</v>
      </c>
      <c r="C45" s="14" t="s">
        <v>184</v>
      </c>
      <c r="D45" s="14" t="s">
        <v>185</v>
      </c>
      <c r="E45" s="18" t="s">
        <v>4</v>
      </c>
      <c r="F45" s="18" t="s">
        <v>28</v>
      </c>
      <c r="G45" s="14" t="s">
        <v>186</v>
      </c>
    </row>
    <row r="46" customFormat="false" ht="23.25" hidden="false" customHeight="true" outlineLevel="0" collapsed="false">
      <c r="A46" s="17" t="s">
        <v>10</v>
      </c>
      <c r="B46" s="18" t="s">
        <v>187</v>
      </c>
      <c r="C46" s="14" t="s">
        <v>188</v>
      </c>
      <c r="D46" s="14" t="s">
        <v>189</v>
      </c>
      <c r="E46" s="18" t="s">
        <v>4</v>
      </c>
      <c r="F46" s="18" t="s">
        <v>37</v>
      </c>
      <c r="G46" s="14" t="s">
        <v>190</v>
      </c>
    </row>
    <row r="47" customFormat="false" ht="23.25" hidden="false" customHeight="true" outlineLevel="0" collapsed="false">
      <c r="A47" s="17" t="s">
        <v>10</v>
      </c>
      <c r="B47" s="18" t="s">
        <v>191</v>
      </c>
      <c r="C47" s="14" t="s">
        <v>192</v>
      </c>
      <c r="D47" s="14" t="s">
        <v>193</v>
      </c>
      <c r="E47" s="18" t="s">
        <v>4</v>
      </c>
      <c r="F47" s="18" t="s">
        <v>37</v>
      </c>
      <c r="G47" s="14" t="s">
        <v>194</v>
      </c>
    </row>
    <row r="48" customFormat="false" ht="23.25" hidden="false" customHeight="true" outlineLevel="0" collapsed="false">
      <c r="A48" s="17" t="s">
        <v>10</v>
      </c>
      <c r="B48" s="18" t="s">
        <v>195</v>
      </c>
      <c r="C48" s="14" t="s">
        <v>196</v>
      </c>
      <c r="D48" s="14" t="s">
        <v>197</v>
      </c>
      <c r="E48" s="18" t="s">
        <v>4</v>
      </c>
      <c r="F48" s="18" t="s">
        <v>37</v>
      </c>
      <c r="G48" s="14" t="s">
        <v>198</v>
      </c>
    </row>
    <row r="49" customFormat="false" ht="15" hidden="false" customHeight="true" outlineLevel="0" collapsed="false">
      <c r="A49" s="17" t="s">
        <v>10</v>
      </c>
      <c r="B49" s="18" t="s">
        <v>199</v>
      </c>
      <c r="C49" s="14" t="s">
        <v>200</v>
      </c>
      <c r="D49" s="14" t="s">
        <v>201</v>
      </c>
      <c r="E49" s="18" t="s">
        <v>4</v>
      </c>
      <c r="F49" s="18" t="s">
        <v>28</v>
      </c>
      <c r="G49" s="14" t="s">
        <v>202</v>
      </c>
    </row>
    <row r="50" customFormat="false" ht="23.25" hidden="false" customHeight="true" outlineLevel="0" collapsed="false">
      <c r="A50" s="17" t="s">
        <v>11</v>
      </c>
      <c r="B50" s="18" t="s">
        <v>203</v>
      </c>
      <c r="C50" s="14" t="s">
        <v>204</v>
      </c>
      <c r="D50" s="14" t="s">
        <v>205</v>
      </c>
      <c r="E50" s="18" t="s">
        <v>4</v>
      </c>
      <c r="F50" s="18" t="s">
        <v>37</v>
      </c>
      <c r="G50" s="14" t="s">
        <v>206</v>
      </c>
    </row>
    <row r="51" customFormat="false" ht="15" hidden="false" customHeight="true" outlineLevel="0" collapsed="false">
      <c r="A51" s="17" t="s">
        <v>12</v>
      </c>
      <c r="B51" s="18" t="s">
        <v>207</v>
      </c>
      <c r="C51" s="14" t="s">
        <v>208</v>
      </c>
      <c r="D51" s="14" t="s">
        <v>209</v>
      </c>
      <c r="E51" s="18" t="s">
        <v>5</v>
      </c>
      <c r="F51" s="18" t="s">
        <v>37</v>
      </c>
      <c r="G51" s="14" t="s">
        <v>210</v>
      </c>
    </row>
    <row r="52" customFormat="false" ht="15" hidden="false" customHeight="true" outlineLevel="0" collapsed="false">
      <c r="A52" s="17" t="s">
        <v>12</v>
      </c>
      <c r="B52" s="18" t="s">
        <v>211</v>
      </c>
      <c r="C52" s="14" t="s">
        <v>212</v>
      </c>
      <c r="D52" s="14" t="s">
        <v>213</v>
      </c>
      <c r="E52" s="18" t="s">
        <v>4</v>
      </c>
      <c r="F52" s="18" t="s">
        <v>37</v>
      </c>
      <c r="G52" s="14" t="s">
        <v>214</v>
      </c>
    </row>
    <row r="53" customFormat="false" ht="23.25" hidden="false" customHeight="true" outlineLevel="0" collapsed="false">
      <c r="A53" s="17" t="s">
        <v>13</v>
      </c>
      <c r="B53" s="18" t="s">
        <v>215</v>
      </c>
      <c r="C53" s="14" t="s">
        <v>216</v>
      </c>
      <c r="D53" s="14" t="s">
        <v>217</v>
      </c>
      <c r="E53" s="18" t="s">
        <v>4</v>
      </c>
      <c r="F53" s="18" t="s">
        <v>28</v>
      </c>
      <c r="G53" s="14" t="s">
        <v>218</v>
      </c>
    </row>
    <row r="54" customFormat="false" ht="23.25" hidden="false" customHeight="true" outlineLevel="0" collapsed="false">
      <c r="A54" s="17" t="s">
        <v>13</v>
      </c>
      <c r="B54" s="18" t="s">
        <v>219</v>
      </c>
      <c r="C54" s="14" t="s">
        <v>220</v>
      </c>
      <c r="D54" s="14" t="s">
        <v>221</v>
      </c>
      <c r="E54" s="18" t="s">
        <v>6</v>
      </c>
      <c r="F54" s="18" t="s">
        <v>28</v>
      </c>
      <c r="G54" s="14" t="s">
        <v>222</v>
      </c>
    </row>
    <row r="55" customFormat="false" ht="23.25" hidden="false" customHeight="true" outlineLevel="0" collapsed="false">
      <c r="A55" s="17" t="s">
        <v>13</v>
      </c>
      <c r="B55" s="18" t="s">
        <v>223</v>
      </c>
      <c r="C55" s="14" t="s">
        <v>224</v>
      </c>
      <c r="D55" s="14" t="s">
        <v>225</v>
      </c>
      <c r="E55" s="18" t="s">
        <v>6</v>
      </c>
      <c r="F55" s="18" t="s">
        <v>28</v>
      </c>
      <c r="G55" s="14" t="s">
        <v>226</v>
      </c>
    </row>
    <row r="56" customFormat="false" ht="23.25" hidden="false" customHeight="true" outlineLevel="0" collapsed="false">
      <c r="A56" s="17" t="s">
        <v>13</v>
      </c>
      <c r="B56" s="18" t="s">
        <v>227</v>
      </c>
      <c r="C56" s="14" t="s">
        <v>228</v>
      </c>
      <c r="D56" s="14" t="s">
        <v>229</v>
      </c>
      <c r="E56" s="18" t="s">
        <v>6</v>
      </c>
      <c r="F56" s="18" t="s">
        <v>28</v>
      </c>
      <c r="G56" s="14" t="s">
        <v>230</v>
      </c>
    </row>
    <row r="57" customFormat="false" ht="23.25" hidden="false" customHeight="true" outlineLevel="0" collapsed="false">
      <c r="A57" s="17" t="s">
        <v>9</v>
      </c>
      <c r="B57" s="18" t="s">
        <v>231</v>
      </c>
      <c r="C57" s="14" t="s">
        <v>232</v>
      </c>
      <c r="D57" s="14" t="s">
        <v>233</v>
      </c>
      <c r="E57" s="18" t="s">
        <v>4</v>
      </c>
      <c r="F57" s="18" t="s">
        <v>37</v>
      </c>
      <c r="G57" s="14" t="s">
        <v>234</v>
      </c>
    </row>
    <row r="58" customFormat="false" ht="23.25" hidden="false" customHeight="true" outlineLevel="0" collapsed="false">
      <c r="A58" s="17" t="s">
        <v>10</v>
      </c>
      <c r="B58" s="18" t="s">
        <v>235</v>
      </c>
      <c r="C58" s="14" t="s">
        <v>236</v>
      </c>
      <c r="D58" s="14" t="s">
        <v>237</v>
      </c>
      <c r="E58" s="18" t="s">
        <v>4</v>
      </c>
      <c r="F58" s="18" t="s">
        <v>37</v>
      </c>
      <c r="G58" s="14" t="s">
        <v>238</v>
      </c>
    </row>
    <row r="59" customFormat="false" ht="34.5" hidden="false" customHeight="true" outlineLevel="0" collapsed="false">
      <c r="A59" s="17" t="s">
        <v>10</v>
      </c>
      <c r="B59" s="18" t="s">
        <v>239</v>
      </c>
      <c r="C59" s="14" t="s">
        <v>240</v>
      </c>
      <c r="D59" s="14" t="s">
        <v>241</v>
      </c>
      <c r="E59" s="18" t="s">
        <v>4</v>
      </c>
      <c r="F59" s="18" t="s">
        <v>37</v>
      </c>
      <c r="G59" s="14" t="s">
        <v>242</v>
      </c>
    </row>
    <row r="60" customFormat="false" ht="23.25" hidden="false" customHeight="true" outlineLevel="0" collapsed="false">
      <c r="A60" s="17" t="s">
        <v>10</v>
      </c>
      <c r="B60" s="18" t="s">
        <v>243</v>
      </c>
      <c r="C60" s="14" t="s">
        <v>244</v>
      </c>
      <c r="D60" s="14" t="s">
        <v>245</v>
      </c>
      <c r="E60" s="18" t="s">
        <v>4</v>
      </c>
      <c r="F60" s="18" t="s">
        <v>37</v>
      </c>
      <c r="G60" s="14" t="s">
        <v>246</v>
      </c>
    </row>
    <row r="61" customFormat="false" ht="23.25" hidden="false" customHeight="true" outlineLevel="0" collapsed="false">
      <c r="A61" s="17" t="s">
        <v>11</v>
      </c>
      <c r="B61" s="18" t="s">
        <v>247</v>
      </c>
      <c r="C61" s="14" t="s">
        <v>248</v>
      </c>
      <c r="D61" s="14" t="s">
        <v>249</v>
      </c>
      <c r="E61" s="18" t="s">
        <v>4</v>
      </c>
      <c r="F61" s="18" t="s">
        <v>37</v>
      </c>
      <c r="G61" s="14" t="s">
        <v>250</v>
      </c>
    </row>
    <row r="62" customFormat="false" ht="34.5" hidden="false" customHeight="true" outlineLevel="0" collapsed="false">
      <c r="A62" s="17" t="s">
        <v>9</v>
      </c>
      <c r="B62" s="18" t="s">
        <v>251</v>
      </c>
      <c r="C62" s="14" t="s">
        <v>252</v>
      </c>
      <c r="D62" s="14" t="s">
        <v>253</v>
      </c>
      <c r="E62" s="18" t="s">
        <v>4</v>
      </c>
      <c r="F62" s="18" t="s">
        <v>37</v>
      </c>
      <c r="G62" s="14" t="s">
        <v>254</v>
      </c>
    </row>
    <row r="63" customFormat="false" ht="23.25" hidden="false" customHeight="true" outlineLevel="0" collapsed="false">
      <c r="A63" s="17" t="s">
        <v>9</v>
      </c>
      <c r="B63" s="18" t="s">
        <v>255</v>
      </c>
      <c r="C63" s="14" t="s">
        <v>256</v>
      </c>
      <c r="D63" s="14" t="s">
        <v>257</v>
      </c>
      <c r="E63" s="18" t="s">
        <v>4</v>
      </c>
      <c r="F63" s="18" t="s">
        <v>37</v>
      </c>
      <c r="G63" s="14" t="s">
        <v>258</v>
      </c>
    </row>
    <row r="64" customFormat="false" ht="23.25" hidden="false" customHeight="true" outlineLevel="0" collapsed="false">
      <c r="A64" s="17" t="s">
        <v>9</v>
      </c>
      <c r="B64" s="18" t="s">
        <v>259</v>
      </c>
      <c r="C64" s="14" t="s">
        <v>260</v>
      </c>
      <c r="D64" s="14" t="s">
        <v>261</v>
      </c>
      <c r="E64" s="18" t="s">
        <v>6</v>
      </c>
      <c r="F64" s="18" t="s">
        <v>28</v>
      </c>
      <c r="G64" s="14" t="s">
        <v>262</v>
      </c>
    </row>
    <row r="65" customFormat="false" ht="34.5" hidden="false" customHeight="true" outlineLevel="0" collapsed="false">
      <c r="A65" s="17" t="s">
        <v>11</v>
      </c>
      <c r="B65" s="18" t="s">
        <v>263</v>
      </c>
      <c r="C65" s="14" t="s">
        <v>264</v>
      </c>
      <c r="D65" s="14" t="s">
        <v>265</v>
      </c>
      <c r="E65" s="18" t="s">
        <v>4</v>
      </c>
      <c r="F65" s="18" t="s">
        <v>37</v>
      </c>
      <c r="G65" s="14" t="s">
        <v>266</v>
      </c>
    </row>
    <row r="66" customFormat="false" ht="34.5" hidden="false" customHeight="true" outlineLevel="0" collapsed="false">
      <c r="A66" s="17" t="s">
        <v>11</v>
      </c>
      <c r="B66" s="18" t="s">
        <v>267</v>
      </c>
      <c r="C66" s="14" t="s">
        <v>268</v>
      </c>
      <c r="D66" s="14" t="s">
        <v>269</v>
      </c>
      <c r="E66" s="18" t="s">
        <v>4</v>
      </c>
      <c r="F66" s="18" t="s">
        <v>37</v>
      </c>
      <c r="G66" s="14" t="s">
        <v>270</v>
      </c>
    </row>
    <row r="67" customFormat="false" ht="23.25" hidden="false" customHeight="true" outlineLevel="0" collapsed="false">
      <c r="A67" s="17" t="s">
        <v>11</v>
      </c>
      <c r="B67" s="18" t="s">
        <v>271</v>
      </c>
      <c r="C67" s="14" t="s">
        <v>272</v>
      </c>
      <c r="D67" s="14" t="s">
        <v>273</v>
      </c>
      <c r="E67" s="18" t="s">
        <v>5</v>
      </c>
      <c r="F67" s="18" t="s">
        <v>37</v>
      </c>
      <c r="G67" s="14" t="s">
        <v>274</v>
      </c>
    </row>
    <row r="68" customFormat="false" ht="23.25" hidden="false" customHeight="true" outlineLevel="0" collapsed="false">
      <c r="A68" s="17" t="s">
        <v>11</v>
      </c>
      <c r="B68" s="18" t="s">
        <v>275</v>
      </c>
      <c r="C68" s="14" t="s">
        <v>276</v>
      </c>
      <c r="D68" s="14" t="s">
        <v>277</v>
      </c>
      <c r="E68" s="18" t="s">
        <v>4</v>
      </c>
      <c r="F68" s="18" t="s">
        <v>28</v>
      </c>
      <c r="G68" s="14" t="s">
        <v>278</v>
      </c>
    </row>
    <row r="69" customFormat="false" ht="23.25" hidden="false" customHeight="true" outlineLevel="0" collapsed="false">
      <c r="A69" s="17" t="s">
        <v>11</v>
      </c>
      <c r="B69" s="18" t="s">
        <v>279</v>
      </c>
      <c r="C69" s="14" t="s">
        <v>280</v>
      </c>
      <c r="D69" s="14" t="s">
        <v>281</v>
      </c>
      <c r="E69" s="18" t="s">
        <v>4</v>
      </c>
      <c r="F69" s="18" t="s">
        <v>28</v>
      </c>
      <c r="G69" s="14" t="s">
        <v>282</v>
      </c>
    </row>
    <row r="70" customFormat="false" ht="23.25" hidden="false" customHeight="true" outlineLevel="0" collapsed="false">
      <c r="A70" s="17" t="s">
        <v>11</v>
      </c>
      <c r="B70" s="18" t="s">
        <v>283</v>
      </c>
      <c r="C70" s="14" t="s">
        <v>284</v>
      </c>
      <c r="D70" s="14" t="s">
        <v>285</v>
      </c>
      <c r="E70" s="18" t="s">
        <v>4</v>
      </c>
      <c r="F70" s="18" t="s">
        <v>37</v>
      </c>
      <c r="G70" s="14" t="s">
        <v>286</v>
      </c>
    </row>
    <row r="71" customFormat="false" ht="23.25" hidden="false" customHeight="true" outlineLevel="0" collapsed="false">
      <c r="A71" s="17" t="s">
        <v>11</v>
      </c>
      <c r="B71" s="18" t="s">
        <v>287</v>
      </c>
      <c r="C71" s="14" t="s">
        <v>288</v>
      </c>
      <c r="D71" s="14" t="s">
        <v>289</v>
      </c>
      <c r="E71" s="18" t="s">
        <v>5</v>
      </c>
      <c r="F71" s="18" t="s">
        <v>37</v>
      </c>
      <c r="G71" s="14" t="s">
        <v>290</v>
      </c>
    </row>
    <row r="72" customFormat="false" ht="23.25" hidden="false" customHeight="true" outlineLevel="0" collapsed="false">
      <c r="A72" s="17" t="s">
        <v>11</v>
      </c>
      <c r="B72" s="18" t="s">
        <v>291</v>
      </c>
      <c r="C72" s="14" t="s">
        <v>292</v>
      </c>
      <c r="D72" s="14" t="s">
        <v>293</v>
      </c>
      <c r="E72" s="18" t="s">
        <v>4</v>
      </c>
      <c r="F72" s="18" t="s">
        <v>37</v>
      </c>
      <c r="G72" s="14" t="s">
        <v>294</v>
      </c>
    </row>
    <row r="73" customFormat="false" ht="23.25" hidden="false" customHeight="true" outlineLevel="0" collapsed="false">
      <c r="A73" s="17" t="s">
        <v>11</v>
      </c>
      <c r="B73" s="18" t="s">
        <v>295</v>
      </c>
      <c r="C73" s="14" t="s">
        <v>296</v>
      </c>
      <c r="D73" s="14" t="s">
        <v>297</v>
      </c>
      <c r="E73" s="18" t="s">
        <v>4</v>
      </c>
      <c r="F73" s="18" t="s">
        <v>37</v>
      </c>
      <c r="G73" s="14" t="s">
        <v>298</v>
      </c>
    </row>
    <row r="74" customFormat="false" ht="34.5" hidden="false" customHeight="true" outlineLevel="0" collapsed="false">
      <c r="A74" s="17" t="s">
        <v>11</v>
      </c>
      <c r="B74" s="18" t="s">
        <v>299</v>
      </c>
      <c r="C74" s="14" t="s">
        <v>300</v>
      </c>
      <c r="D74" s="14" t="s">
        <v>301</v>
      </c>
      <c r="E74" s="18" t="s">
        <v>4</v>
      </c>
      <c r="F74" s="18" t="s">
        <v>37</v>
      </c>
      <c r="G74" s="14" t="s">
        <v>302</v>
      </c>
    </row>
    <row r="75" customFormat="false" ht="23.25" hidden="false" customHeight="true" outlineLevel="0" collapsed="false">
      <c r="A75" s="17" t="s">
        <v>11</v>
      </c>
      <c r="B75" s="18" t="s">
        <v>303</v>
      </c>
      <c r="C75" s="14" t="s">
        <v>304</v>
      </c>
      <c r="D75" s="14" t="s">
        <v>305</v>
      </c>
      <c r="E75" s="18" t="s">
        <v>4</v>
      </c>
      <c r="F75" s="18" t="s">
        <v>37</v>
      </c>
      <c r="G75" s="14" t="s">
        <v>306</v>
      </c>
    </row>
    <row r="76" customFormat="false" ht="34.5" hidden="false" customHeight="true" outlineLevel="0" collapsed="false">
      <c r="A76" s="17" t="s">
        <v>9</v>
      </c>
      <c r="B76" s="18" t="s">
        <v>307</v>
      </c>
      <c r="C76" s="14" t="s">
        <v>308</v>
      </c>
      <c r="D76" s="14" t="s">
        <v>309</v>
      </c>
      <c r="E76" s="18" t="s">
        <v>4</v>
      </c>
      <c r="F76" s="18" t="s">
        <v>37</v>
      </c>
      <c r="G76" s="14" t="s">
        <v>310</v>
      </c>
    </row>
    <row r="77" customFormat="false" ht="57" hidden="false" customHeight="true" outlineLevel="0" collapsed="false">
      <c r="A77" s="17" t="s">
        <v>10</v>
      </c>
      <c r="B77" s="18" t="s">
        <v>311</v>
      </c>
      <c r="C77" s="14" t="s">
        <v>312</v>
      </c>
      <c r="D77" s="14" t="s">
        <v>313</v>
      </c>
      <c r="E77" s="18" t="s">
        <v>4</v>
      </c>
      <c r="F77" s="18" t="s">
        <v>28</v>
      </c>
      <c r="G77" s="14" t="s">
        <v>314</v>
      </c>
    </row>
    <row r="78" customFormat="false" ht="23.25" hidden="false" customHeight="true" outlineLevel="0" collapsed="false">
      <c r="A78" s="17" t="s">
        <v>11</v>
      </c>
      <c r="B78" s="18" t="s">
        <v>315</v>
      </c>
      <c r="C78" s="14" t="s">
        <v>316</v>
      </c>
      <c r="D78" s="14" t="s">
        <v>317</v>
      </c>
      <c r="E78" s="18" t="s">
        <v>4</v>
      </c>
      <c r="F78" s="18" t="s">
        <v>37</v>
      </c>
      <c r="G78" s="14" t="s">
        <v>318</v>
      </c>
    </row>
    <row r="79" customFormat="false" ht="23.25" hidden="false" customHeight="true" outlineLevel="0" collapsed="false">
      <c r="A79" s="17" t="s">
        <v>11</v>
      </c>
      <c r="B79" s="18" t="s">
        <v>319</v>
      </c>
      <c r="C79" s="14" t="s">
        <v>320</v>
      </c>
      <c r="D79" s="14" t="s">
        <v>321</v>
      </c>
      <c r="E79" s="18" t="s">
        <v>4</v>
      </c>
      <c r="F79" s="18" t="s">
        <v>37</v>
      </c>
      <c r="G79" s="14" t="s">
        <v>322</v>
      </c>
    </row>
    <row r="80" customFormat="false" ht="23.25" hidden="false" customHeight="true" outlineLevel="0" collapsed="false">
      <c r="A80" s="17" t="s">
        <v>11</v>
      </c>
      <c r="B80" s="18" t="s">
        <v>323</v>
      </c>
      <c r="C80" s="14" t="s">
        <v>324</v>
      </c>
      <c r="D80" s="14" t="s">
        <v>325</v>
      </c>
      <c r="E80" s="18" t="s">
        <v>4</v>
      </c>
      <c r="F80" s="18" t="s">
        <v>37</v>
      </c>
      <c r="G80" s="14" t="s">
        <v>326</v>
      </c>
    </row>
    <row r="81" customFormat="false" ht="23.25" hidden="false" customHeight="true" outlineLevel="0" collapsed="false">
      <c r="A81" s="17" t="s">
        <v>11</v>
      </c>
      <c r="B81" s="18" t="s">
        <v>327</v>
      </c>
      <c r="C81" s="14" t="s">
        <v>328</v>
      </c>
      <c r="D81" s="14" t="s">
        <v>329</v>
      </c>
      <c r="E81" s="18" t="s">
        <v>4</v>
      </c>
      <c r="F81" s="18" t="s">
        <v>37</v>
      </c>
      <c r="G81" s="14" t="s">
        <v>330</v>
      </c>
    </row>
    <row r="82" customFormat="false" ht="23.25" hidden="false" customHeight="true" outlineLevel="0" collapsed="false">
      <c r="A82" s="17" t="s">
        <v>12</v>
      </c>
      <c r="B82" s="18" t="s">
        <v>331</v>
      </c>
      <c r="C82" s="14" t="s">
        <v>332</v>
      </c>
      <c r="D82" s="14" t="s">
        <v>333</v>
      </c>
      <c r="E82" s="18" t="s">
        <v>5</v>
      </c>
      <c r="F82" s="18" t="s">
        <v>37</v>
      </c>
      <c r="G82" s="14" t="s">
        <v>334</v>
      </c>
    </row>
    <row r="83" customFormat="false" ht="34.5" hidden="false" customHeight="true" outlineLevel="0" collapsed="false">
      <c r="A83" s="17" t="s">
        <v>11</v>
      </c>
      <c r="B83" s="18" t="s">
        <v>335</v>
      </c>
      <c r="C83" s="14" t="s">
        <v>336</v>
      </c>
      <c r="D83" s="14" t="s">
        <v>337</v>
      </c>
      <c r="E83" s="18" t="s">
        <v>4</v>
      </c>
      <c r="F83" s="18" t="s">
        <v>37</v>
      </c>
      <c r="G83" s="14" t="s">
        <v>338</v>
      </c>
    </row>
    <row r="84" customFormat="false" ht="23.25" hidden="false" customHeight="true" outlineLevel="0" collapsed="false">
      <c r="A84" s="17" t="s">
        <v>9</v>
      </c>
      <c r="B84" s="18" t="s">
        <v>339</v>
      </c>
      <c r="C84" s="14" t="s">
        <v>340</v>
      </c>
      <c r="D84" s="14" t="s">
        <v>341</v>
      </c>
      <c r="E84" s="18" t="s">
        <v>6</v>
      </c>
      <c r="F84" s="18" t="s">
        <v>28</v>
      </c>
      <c r="G84" s="14" t="s">
        <v>342</v>
      </c>
    </row>
    <row r="85" customFormat="false" ht="34.5" hidden="false" customHeight="true" outlineLevel="0" collapsed="false">
      <c r="A85" s="17" t="s">
        <v>11</v>
      </c>
      <c r="B85" s="18" t="s">
        <v>343</v>
      </c>
      <c r="C85" s="14" t="s">
        <v>344</v>
      </c>
      <c r="D85" s="14" t="s">
        <v>345</v>
      </c>
      <c r="E85" s="18" t="s">
        <v>4</v>
      </c>
      <c r="F85" s="18" t="s">
        <v>37</v>
      </c>
      <c r="G85" s="14" t="s">
        <v>346</v>
      </c>
    </row>
    <row r="86" customFormat="false" ht="45.75" hidden="false" customHeight="true" outlineLevel="0" collapsed="false">
      <c r="A86" s="17" t="s">
        <v>11</v>
      </c>
      <c r="B86" s="18" t="s">
        <v>347</v>
      </c>
      <c r="C86" s="14" t="s">
        <v>348</v>
      </c>
      <c r="D86" s="14" t="s">
        <v>349</v>
      </c>
      <c r="E86" s="18" t="s">
        <v>5</v>
      </c>
      <c r="F86" s="18" t="s">
        <v>28</v>
      </c>
      <c r="G86" s="14" t="s">
        <v>350</v>
      </c>
    </row>
    <row r="87" customFormat="false" ht="45.75" hidden="false" customHeight="true" outlineLevel="0" collapsed="false">
      <c r="A87" s="17" t="s">
        <v>11</v>
      </c>
      <c r="B87" s="18" t="s">
        <v>351</v>
      </c>
      <c r="C87" s="14" t="s">
        <v>352</v>
      </c>
      <c r="D87" s="14" t="s">
        <v>353</v>
      </c>
      <c r="E87" s="18" t="s">
        <v>4</v>
      </c>
      <c r="F87" s="18" t="s">
        <v>37</v>
      </c>
      <c r="G87" s="14" t="s">
        <v>354</v>
      </c>
    </row>
    <row r="88" customFormat="false" ht="23.25" hidden="false" customHeight="true" outlineLevel="0" collapsed="false">
      <c r="A88" s="17" t="s">
        <v>13</v>
      </c>
      <c r="B88" s="18" t="s">
        <v>355</v>
      </c>
      <c r="C88" s="14" t="s">
        <v>356</v>
      </c>
      <c r="D88" s="14" t="s">
        <v>357</v>
      </c>
      <c r="E88" s="18" t="s">
        <v>5</v>
      </c>
      <c r="F88" s="18" t="s">
        <v>28</v>
      </c>
      <c r="G88" s="14" t="s">
        <v>358</v>
      </c>
    </row>
    <row r="89" customFormat="false" ht="34.5" hidden="false" customHeight="true" outlineLevel="0" collapsed="false">
      <c r="A89" s="17" t="s">
        <v>13</v>
      </c>
      <c r="B89" s="18" t="s">
        <v>359</v>
      </c>
      <c r="C89" s="14" t="s">
        <v>360</v>
      </c>
      <c r="D89" s="14" t="s">
        <v>361</v>
      </c>
      <c r="E89" s="18" t="s">
        <v>6</v>
      </c>
      <c r="F89" s="18" t="s">
        <v>28</v>
      </c>
      <c r="G89" s="14" t="s">
        <v>362</v>
      </c>
    </row>
    <row r="90" customFormat="false" ht="90.75" hidden="false" customHeight="true" outlineLevel="0" collapsed="false">
      <c r="A90" s="17" t="s">
        <v>10</v>
      </c>
      <c r="B90" s="18" t="s">
        <v>363</v>
      </c>
      <c r="C90" s="14" t="s">
        <v>364</v>
      </c>
      <c r="D90" s="14" t="s">
        <v>365</v>
      </c>
      <c r="E90" s="18" t="s">
        <v>4</v>
      </c>
      <c r="F90" s="18" t="s">
        <v>37</v>
      </c>
      <c r="G90" s="14" t="s">
        <v>366</v>
      </c>
    </row>
    <row r="91" customFormat="false" ht="79.5" hidden="false" customHeight="true" outlineLevel="0" collapsed="false">
      <c r="A91" s="17" t="s">
        <v>11</v>
      </c>
      <c r="B91" s="18" t="s">
        <v>367</v>
      </c>
      <c r="C91" s="14" t="s">
        <v>368</v>
      </c>
      <c r="D91" s="14" t="s">
        <v>369</v>
      </c>
      <c r="E91" s="18" t="s">
        <v>4</v>
      </c>
      <c r="F91" s="18" t="s">
        <v>37</v>
      </c>
      <c r="G91" s="14" t="s">
        <v>370</v>
      </c>
    </row>
    <row r="92" customFormat="false" ht="34.5" hidden="false" customHeight="true" outlineLevel="0" collapsed="false">
      <c r="A92" s="17" t="s">
        <v>11</v>
      </c>
      <c r="B92" s="18" t="s">
        <v>371</v>
      </c>
      <c r="C92" s="14" t="s">
        <v>372</v>
      </c>
      <c r="D92" s="14" t="s">
        <v>373</v>
      </c>
      <c r="E92" s="18" t="s">
        <v>4</v>
      </c>
      <c r="F92" s="18" t="s">
        <v>37</v>
      </c>
      <c r="G92" s="14" t="s">
        <v>374</v>
      </c>
    </row>
    <row r="93" customFormat="false" ht="45.75" hidden="false" customHeight="true" outlineLevel="0" collapsed="false">
      <c r="A93" s="17" t="s">
        <v>11</v>
      </c>
      <c r="B93" s="18" t="s">
        <v>375</v>
      </c>
      <c r="C93" s="14" t="s">
        <v>376</v>
      </c>
      <c r="D93" s="14" t="s">
        <v>377</v>
      </c>
      <c r="E93" s="18" t="s">
        <v>4</v>
      </c>
      <c r="F93" s="18" t="s">
        <v>37</v>
      </c>
      <c r="G93" s="14" t="s">
        <v>378</v>
      </c>
    </row>
    <row r="94" customFormat="false" ht="68.25" hidden="false" customHeight="true" outlineLevel="0" collapsed="false">
      <c r="A94" s="17" t="s">
        <v>11</v>
      </c>
      <c r="B94" s="18" t="s">
        <v>379</v>
      </c>
      <c r="C94" s="14" t="s">
        <v>380</v>
      </c>
      <c r="D94" s="14" t="s">
        <v>381</v>
      </c>
      <c r="E94" s="18" t="s">
        <v>4</v>
      </c>
      <c r="F94" s="18" t="s">
        <v>50</v>
      </c>
      <c r="G94" s="14" t="s">
        <v>382</v>
      </c>
    </row>
    <row r="95" customFormat="false" ht="57" hidden="false" customHeight="true" outlineLevel="0" collapsed="false">
      <c r="A95" s="17" t="s">
        <v>12</v>
      </c>
      <c r="B95" s="18" t="s">
        <v>383</v>
      </c>
      <c r="C95" s="14" t="s">
        <v>384</v>
      </c>
      <c r="D95" s="14" t="s">
        <v>385</v>
      </c>
      <c r="E95" s="18" t="s">
        <v>4</v>
      </c>
      <c r="F95" s="18" t="s">
        <v>37</v>
      </c>
      <c r="G95" s="14" t="s">
        <v>386</v>
      </c>
    </row>
    <row r="96" customFormat="false" ht="90.75" hidden="false" customHeight="true" outlineLevel="0" collapsed="false">
      <c r="A96" s="17" t="s">
        <v>12</v>
      </c>
      <c r="B96" s="18" t="s">
        <v>387</v>
      </c>
      <c r="C96" s="14" t="s">
        <v>388</v>
      </c>
      <c r="D96" s="14" t="s">
        <v>389</v>
      </c>
      <c r="E96" s="18" t="s">
        <v>6</v>
      </c>
      <c r="F96" s="18" t="s">
        <v>28</v>
      </c>
      <c r="G96" s="14" t="s">
        <v>390</v>
      </c>
    </row>
    <row r="97" customFormat="false" ht="90.75" hidden="false" customHeight="true" outlineLevel="0" collapsed="false">
      <c r="A97" s="17" t="s">
        <v>9</v>
      </c>
      <c r="B97" s="18" t="s">
        <v>391</v>
      </c>
      <c r="C97" s="14" t="s">
        <v>392</v>
      </c>
      <c r="D97" s="14" t="s">
        <v>393</v>
      </c>
      <c r="E97" s="18" t="s">
        <v>4</v>
      </c>
      <c r="F97" s="18" t="s">
        <v>37</v>
      </c>
      <c r="G97" s="14" t="s">
        <v>394</v>
      </c>
    </row>
    <row r="98" customFormat="false" ht="102" hidden="false" customHeight="true" outlineLevel="0" collapsed="false">
      <c r="A98" s="17" t="s">
        <v>9</v>
      </c>
      <c r="B98" s="18" t="s">
        <v>395</v>
      </c>
      <c r="C98" s="14" t="s">
        <v>396</v>
      </c>
      <c r="D98" s="14" t="s">
        <v>397</v>
      </c>
      <c r="E98" s="18" t="s">
        <v>4</v>
      </c>
      <c r="F98" s="18" t="s">
        <v>37</v>
      </c>
      <c r="G98" s="14" t="s">
        <v>398</v>
      </c>
    </row>
    <row r="99" customFormat="false" ht="34.5" hidden="false" customHeight="true" outlineLevel="0" collapsed="false">
      <c r="A99" s="17" t="s">
        <v>9</v>
      </c>
      <c r="B99" s="18" t="s">
        <v>399</v>
      </c>
      <c r="C99" s="14" t="s">
        <v>400</v>
      </c>
      <c r="D99" s="14" t="s">
        <v>401</v>
      </c>
      <c r="E99" s="18" t="s">
        <v>4</v>
      </c>
      <c r="F99" s="18" t="s">
        <v>37</v>
      </c>
      <c r="G99" s="14" t="s">
        <v>402</v>
      </c>
    </row>
    <row r="100" customFormat="false" ht="34.5" hidden="false" customHeight="true" outlineLevel="0" collapsed="false">
      <c r="A100" s="19" t="s">
        <v>11</v>
      </c>
      <c r="B100" s="20" t="s">
        <v>403</v>
      </c>
      <c r="C100" s="16" t="s">
        <v>404</v>
      </c>
      <c r="D100" s="16" t="s">
        <v>405</v>
      </c>
      <c r="E100" s="20" t="s">
        <v>4</v>
      </c>
      <c r="F100" s="20" t="s">
        <v>37</v>
      </c>
      <c r="G100" s="16" t="s">
        <v>406</v>
      </c>
    </row>
    <row r="101" customFormat="false" ht="23.25" hidden="false" customHeight="true" outlineLevel="0" collapsed="false">
      <c r="A101" s="19" t="s">
        <v>11</v>
      </c>
      <c r="B101" s="20" t="s">
        <v>407</v>
      </c>
      <c r="C101" s="16" t="s">
        <v>408</v>
      </c>
      <c r="D101" s="16" t="s">
        <v>409</v>
      </c>
      <c r="E101" s="20" t="s">
        <v>4</v>
      </c>
      <c r="F101" s="20" t="s">
        <v>37</v>
      </c>
      <c r="G101" s="16" t="s">
        <v>410</v>
      </c>
    </row>
    <row r="102" customFormat="false" ht="34.5" hidden="false" customHeight="true" outlineLevel="0" collapsed="false">
      <c r="A102" s="19" t="s">
        <v>11</v>
      </c>
      <c r="B102" s="20" t="s">
        <v>411</v>
      </c>
      <c r="C102" s="16" t="s">
        <v>412</v>
      </c>
      <c r="D102" s="16" t="s">
        <v>413</v>
      </c>
      <c r="E102" s="20" t="s">
        <v>4</v>
      </c>
      <c r="F102" s="20" t="s">
        <v>28</v>
      </c>
      <c r="G102" s="16" t="s">
        <v>414</v>
      </c>
    </row>
    <row r="103" customFormat="false" ht="79.5" hidden="false" customHeight="true" outlineLevel="0" collapsed="false">
      <c r="A103" s="19" t="s">
        <v>11</v>
      </c>
      <c r="B103" s="20" t="s">
        <v>415</v>
      </c>
      <c r="C103" s="16" t="s">
        <v>416</v>
      </c>
      <c r="D103" s="16" t="s">
        <v>417</v>
      </c>
      <c r="E103" s="20" t="s">
        <v>4</v>
      </c>
      <c r="F103" s="20" t="s">
        <v>28</v>
      </c>
      <c r="G103" s="16" t="s">
        <v>418</v>
      </c>
    </row>
    <row r="104" customFormat="false" ht="34.5" hidden="false" customHeight="true" outlineLevel="0" collapsed="false">
      <c r="A104" s="19" t="s">
        <v>11</v>
      </c>
      <c r="B104" s="20" t="s">
        <v>419</v>
      </c>
      <c r="C104" s="16" t="s">
        <v>420</v>
      </c>
      <c r="D104" s="16" t="s">
        <v>421</v>
      </c>
      <c r="E104" s="20" t="s">
        <v>6</v>
      </c>
      <c r="F104" s="20" t="s">
        <v>28</v>
      </c>
      <c r="G104" s="16" t="s">
        <v>422</v>
      </c>
    </row>
    <row r="105" customFormat="false" ht="34.5" hidden="false" customHeight="true" outlineLevel="0" collapsed="false">
      <c r="A105" s="19" t="s">
        <v>11</v>
      </c>
      <c r="B105" s="20" t="s">
        <v>423</v>
      </c>
      <c r="C105" s="16" t="s">
        <v>424</v>
      </c>
      <c r="D105" s="16" t="s">
        <v>425</v>
      </c>
      <c r="E105" s="20" t="s">
        <v>4</v>
      </c>
      <c r="F105" s="20" t="s">
        <v>37</v>
      </c>
      <c r="G105" s="16" t="s">
        <v>426</v>
      </c>
    </row>
    <row r="106" customFormat="false" ht="68.25" hidden="false" customHeight="true" outlineLevel="0" collapsed="false">
      <c r="A106" s="19" t="s">
        <v>10</v>
      </c>
      <c r="B106" s="20" t="s">
        <v>363</v>
      </c>
      <c r="C106" s="16" t="s">
        <v>427</v>
      </c>
      <c r="D106" s="16" t="s">
        <v>428</v>
      </c>
      <c r="E106" s="20" t="s">
        <v>4</v>
      </c>
      <c r="F106" s="20" t="s">
        <v>37</v>
      </c>
      <c r="G106" s="16" t="s">
        <v>366</v>
      </c>
    </row>
    <row r="107" customFormat="false" ht="79.5" hidden="false" customHeight="true" outlineLevel="0" collapsed="false">
      <c r="A107" s="19" t="s">
        <v>10</v>
      </c>
      <c r="B107" s="20" t="s">
        <v>429</v>
      </c>
      <c r="C107" s="16" t="s">
        <v>430</v>
      </c>
      <c r="D107" s="16" t="s">
        <v>431</v>
      </c>
      <c r="E107" s="20" t="s">
        <v>4</v>
      </c>
      <c r="F107" s="20" t="s">
        <v>37</v>
      </c>
      <c r="G107" s="16" t="s">
        <v>432</v>
      </c>
    </row>
    <row r="108" customFormat="false" ht="68.25" hidden="false" customHeight="true" outlineLevel="0" collapsed="false">
      <c r="A108" s="19" t="s">
        <v>10</v>
      </c>
      <c r="B108" s="20" t="s">
        <v>433</v>
      </c>
      <c r="C108" s="16" t="s">
        <v>434</v>
      </c>
      <c r="D108" s="16" t="s">
        <v>435</v>
      </c>
      <c r="E108" s="20" t="s">
        <v>4</v>
      </c>
      <c r="F108" s="20" t="s">
        <v>37</v>
      </c>
      <c r="G108" s="16" t="s">
        <v>436</v>
      </c>
    </row>
    <row r="109" customFormat="false" ht="124.5" hidden="false" customHeight="true" outlineLevel="0" collapsed="false">
      <c r="A109" s="19" t="s">
        <v>10</v>
      </c>
      <c r="B109" s="20" t="s">
        <v>437</v>
      </c>
      <c r="C109" s="16" t="s">
        <v>438</v>
      </c>
      <c r="D109" s="16" t="s">
        <v>439</v>
      </c>
      <c r="E109" s="20" t="s">
        <v>4</v>
      </c>
      <c r="F109" s="20" t="s">
        <v>37</v>
      </c>
      <c r="G109" s="16" t="s">
        <v>440</v>
      </c>
    </row>
    <row r="110" customFormat="false" ht="45.75" hidden="false" customHeight="true" outlineLevel="0" collapsed="false">
      <c r="A110" s="19" t="s">
        <v>9</v>
      </c>
      <c r="B110" s="20" t="s">
        <v>441</v>
      </c>
      <c r="C110" s="16" t="s">
        <v>442</v>
      </c>
      <c r="D110" s="16" t="s">
        <v>443</v>
      </c>
      <c r="E110" s="20" t="s">
        <v>4</v>
      </c>
      <c r="F110" s="20" t="s">
        <v>37</v>
      </c>
      <c r="G110" s="16" t="s">
        <v>444</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445</v>
      </c>
    </row>
    <row r="3" customFormat="false" ht="15" hidden="false" customHeight="true" outlineLevel="0" collapsed="false">
      <c r="A3" s="4" t="s">
        <v>19</v>
      </c>
      <c r="B3" s="4" t="s">
        <v>20</v>
      </c>
      <c r="C3" s="4" t="s">
        <v>446</v>
      </c>
      <c r="D3" s="4" t="s">
        <v>447</v>
      </c>
      <c r="E3" s="4" t="s">
        <v>448</v>
      </c>
      <c r="F3" s="4" t="s">
        <v>22</v>
      </c>
      <c r="G3" s="4" t="s">
        <v>24</v>
      </c>
    </row>
    <row r="4" customFormat="false" ht="15" hidden="false" customHeight="true" outlineLevel="0" collapsed="false">
      <c r="A4" s="6" t="s">
        <v>449</v>
      </c>
      <c r="B4" s="6" t="s">
        <v>25</v>
      </c>
      <c r="C4" s="16" t="s">
        <v>450</v>
      </c>
      <c r="D4" s="16" t="s">
        <v>451</v>
      </c>
      <c r="E4" s="6" t="s">
        <v>452</v>
      </c>
      <c r="F4" s="6" t="s">
        <v>453</v>
      </c>
      <c r="G4" s="16" t="s">
        <v>454</v>
      </c>
    </row>
    <row r="5" customFormat="false" ht="15" hidden="false" customHeight="true" outlineLevel="0" collapsed="false">
      <c r="A5" s="6" t="s">
        <v>455</v>
      </c>
      <c r="B5" s="6" t="s">
        <v>25</v>
      </c>
      <c r="C5" s="16" t="s">
        <v>456</v>
      </c>
      <c r="D5" s="16" t="s">
        <v>457</v>
      </c>
      <c r="E5" s="6" t="s">
        <v>452</v>
      </c>
      <c r="F5" s="6" t="s">
        <v>453</v>
      </c>
      <c r="G5" s="16"/>
    </row>
    <row r="6" customFormat="false" ht="15" hidden="false" customHeight="true" outlineLevel="0" collapsed="false">
      <c r="A6" s="6" t="s">
        <v>458</v>
      </c>
      <c r="B6" s="6" t="s">
        <v>25</v>
      </c>
      <c r="C6" s="16" t="s">
        <v>459</v>
      </c>
      <c r="D6" s="16" t="s">
        <v>460</v>
      </c>
      <c r="E6" s="6" t="s">
        <v>461</v>
      </c>
      <c r="F6" s="6" t="s">
        <v>453</v>
      </c>
      <c r="G6" s="16"/>
    </row>
    <row r="7" customFormat="false" ht="15" hidden="false" customHeight="true" outlineLevel="0" collapsed="false">
      <c r="A7" s="6" t="s">
        <v>462</v>
      </c>
      <c r="B7" s="6" t="s">
        <v>25</v>
      </c>
      <c r="C7" s="16" t="s">
        <v>459</v>
      </c>
      <c r="D7" s="16" t="s">
        <v>463</v>
      </c>
      <c r="E7" s="6" t="s">
        <v>464</v>
      </c>
      <c r="F7" s="6" t="s">
        <v>453</v>
      </c>
      <c r="G7" s="16" t="s">
        <v>465</v>
      </c>
    </row>
    <row r="8" customFormat="false" ht="15" hidden="false" customHeight="true" outlineLevel="0" collapsed="false">
      <c r="A8" s="6" t="s">
        <v>466</v>
      </c>
      <c r="B8" s="6" t="s">
        <v>25</v>
      </c>
      <c r="C8" s="16" t="s">
        <v>467</v>
      </c>
      <c r="D8" s="16" t="s">
        <v>468</v>
      </c>
      <c r="E8" s="6" t="s">
        <v>464</v>
      </c>
      <c r="F8" s="6" t="s">
        <v>453</v>
      </c>
      <c r="G8" s="16"/>
    </row>
    <row r="9" customFormat="false" ht="15" hidden="false" customHeight="true" outlineLevel="0" collapsed="false">
      <c r="A9" s="6" t="s">
        <v>469</v>
      </c>
      <c r="B9" s="6" t="s">
        <v>30</v>
      </c>
      <c r="C9" s="16" t="s">
        <v>470</v>
      </c>
      <c r="D9" s="16" t="s">
        <v>471</v>
      </c>
      <c r="E9" s="6" t="s">
        <v>452</v>
      </c>
      <c r="F9" s="6" t="s">
        <v>453</v>
      </c>
      <c r="G9" s="16" t="s">
        <v>472</v>
      </c>
    </row>
    <row r="10" customFormat="false" ht="15" hidden="false" customHeight="true" outlineLevel="0" collapsed="false">
      <c r="A10" s="6" t="s">
        <v>473</v>
      </c>
      <c r="B10" s="6" t="s">
        <v>30</v>
      </c>
      <c r="C10" s="16" t="s">
        <v>474</v>
      </c>
      <c r="D10" s="16" t="s">
        <v>475</v>
      </c>
      <c r="E10" s="6" t="s">
        <v>452</v>
      </c>
      <c r="F10" s="6" t="s">
        <v>453</v>
      </c>
      <c r="G10" s="16" t="s">
        <v>476</v>
      </c>
    </row>
    <row r="11" customFormat="false" ht="15" hidden="false" customHeight="true" outlineLevel="0" collapsed="false">
      <c r="A11" s="6" t="s">
        <v>477</v>
      </c>
      <c r="B11" s="6" t="s">
        <v>30</v>
      </c>
      <c r="C11" s="16" t="s">
        <v>450</v>
      </c>
      <c r="D11" s="16" t="s">
        <v>478</v>
      </c>
      <c r="E11" s="6" t="s">
        <v>452</v>
      </c>
      <c r="F11" s="6" t="s">
        <v>453</v>
      </c>
      <c r="G11" s="16" t="s">
        <v>479</v>
      </c>
    </row>
    <row r="12" customFormat="false" ht="15" hidden="false" customHeight="true" outlineLevel="0" collapsed="false">
      <c r="A12" s="6" t="s">
        <v>480</v>
      </c>
      <c r="B12" s="6" t="s">
        <v>30</v>
      </c>
      <c r="C12" s="16" t="s">
        <v>481</v>
      </c>
      <c r="D12" s="16" t="s">
        <v>482</v>
      </c>
      <c r="E12" s="6" t="s">
        <v>464</v>
      </c>
      <c r="F12" s="6" t="s">
        <v>453</v>
      </c>
      <c r="G12" s="16" t="s">
        <v>483</v>
      </c>
    </row>
    <row r="13" customFormat="false" ht="15" hidden="false" customHeight="true" outlineLevel="0" collapsed="false">
      <c r="A13" s="6" t="s">
        <v>484</v>
      </c>
      <c r="B13" s="6" t="s">
        <v>30</v>
      </c>
      <c r="C13" s="16" t="s">
        <v>485</v>
      </c>
      <c r="D13" s="16" t="s">
        <v>486</v>
      </c>
      <c r="E13" s="6" t="s">
        <v>464</v>
      </c>
      <c r="F13" s="6" t="s">
        <v>453</v>
      </c>
      <c r="G13" s="16" t="s">
        <v>487</v>
      </c>
    </row>
    <row r="14" customFormat="false" ht="23.25" hidden="false" customHeight="true" outlineLevel="0" collapsed="false">
      <c r="A14" s="6" t="s">
        <v>488</v>
      </c>
      <c r="B14" s="6" t="s">
        <v>30</v>
      </c>
      <c r="C14" s="16" t="s">
        <v>489</v>
      </c>
      <c r="D14" s="16" t="s">
        <v>490</v>
      </c>
      <c r="E14" s="6" t="s">
        <v>464</v>
      </c>
      <c r="F14" s="6" t="s">
        <v>453</v>
      </c>
      <c r="G14" s="16" t="s">
        <v>491</v>
      </c>
    </row>
    <row r="15" customFormat="false" ht="23.25" hidden="false" customHeight="true" outlineLevel="0" collapsed="false">
      <c r="A15" s="6" t="s">
        <v>492</v>
      </c>
      <c r="B15" s="6" t="s">
        <v>493</v>
      </c>
      <c r="C15" s="16" t="s">
        <v>494</v>
      </c>
      <c r="D15" s="16" t="s">
        <v>495</v>
      </c>
      <c r="E15" s="6" t="s">
        <v>464</v>
      </c>
      <c r="F15" s="6" t="s">
        <v>453</v>
      </c>
      <c r="G15" s="16" t="s">
        <v>496</v>
      </c>
    </row>
    <row r="16" customFormat="false" ht="15" hidden="false" customHeight="true" outlineLevel="0" collapsed="false">
      <c r="A16" s="6" t="s">
        <v>497</v>
      </c>
      <c r="B16" s="6" t="s">
        <v>34</v>
      </c>
      <c r="C16" s="16" t="s">
        <v>498</v>
      </c>
      <c r="D16" s="16" t="s">
        <v>499</v>
      </c>
      <c r="E16" s="6" t="s">
        <v>452</v>
      </c>
      <c r="F16" s="6" t="s">
        <v>453</v>
      </c>
      <c r="G16" s="16" t="s">
        <v>500</v>
      </c>
    </row>
    <row r="17" customFormat="false" ht="15" hidden="false" customHeight="true" outlineLevel="0" collapsed="false">
      <c r="A17" s="6" t="s">
        <v>501</v>
      </c>
      <c r="B17" s="6" t="s">
        <v>47</v>
      </c>
      <c r="C17" s="16" t="s">
        <v>502</v>
      </c>
      <c r="D17" s="16" t="s">
        <v>503</v>
      </c>
      <c r="E17" s="6" t="s">
        <v>452</v>
      </c>
      <c r="F17" s="6" t="s">
        <v>453</v>
      </c>
      <c r="G17" s="16" t="s">
        <v>504</v>
      </c>
    </row>
    <row r="18" customFormat="false" ht="15" hidden="false" customHeight="true" outlineLevel="0" collapsed="false">
      <c r="A18" s="6" t="s">
        <v>505</v>
      </c>
      <c r="B18" s="6" t="s">
        <v>52</v>
      </c>
      <c r="C18" s="16" t="s">
        <v>506</v>
      </c>
      <c r="D18" s="16" t="s">
        <v>507</v>
      </c>
      <c r="E18" s="6" t="s">
        <v>461</v>
      </c>
      <c r="F18" s="6" t="s">
        <v>508</v>
      </c>
      <c r="G18" s="16" t="s">
        <v>509</v>
      </c>
    </row>
    <row r="19" customFormat="false" ht="15" hidden="false" customHeight="true" outlineLevel="0" collapsed="false">
      <c r="A19" s="6" t="s">
        <v>510</v>
      </c>
      <c r="B19" s="6" t="s">
        <v>493</v>
      </c>
      <c r="C19" s="16" t="s">
        <v>511</v>
      </c>
      <c r="D19" s="16" t="s">
        <v>512</v>
      </c>
      <c r="E19" s="6" t="s">
        <v>461</v>
      </c>
      <c r="F19" s="6" t="s">
        <v>453</v>
      </c>
      <c r="G19" s="16" t="s">
        <v>513</v>
      </c>
    </row>
    <row r="20" customFormat="false" ht="15" hidden="false" customHeight="true" outlineLevel="0" collapsed="false">
      <c r="A20" s="6" t="s">
        <v>514</v>
      </c>
      <c r="B20" s="6" t="s">
        <v>30</v>
      </c>
      <c r="C20" s="16" t="s">
        <v>515</v>
      </c>
      <c r="D20" s="16" t="s">
        <v>516</v>
      </c>
      <c r="E20" s="6" t="s">
        <v>461</v>
      </c>
      <c r="F20" s="6" t="s">
        <v>453</v>
      </c>
      <c r="G20" s="16" t="s">
        <v>517</v>
      </c>
    </row>
    <row r="21" customFormat="false" ht="15" hidden="false" customHeight="true" outlineLevel="0" collapsed="false">
      <c r="A21" s="6" t="s">
        <v>518</v>
      </c>
      <c r="B21" s="6" t="s">
        <v>493</v>
      </c>
      <c r="C21" s="16" t="s">
        <v>515</v>
      </c>
      <c r="D21" s="16" t="s">
        <v>519</v>
      </c>
      <c r="E21" s="6" t="s">
        <v>464</v>
      </c>
      <c r="F21" s="6" t="s">
        <v>453</v>
      </c>
      <c r="G21" s="16" t="s">
        <v>520</v>
      </c>
    </row>
    <row r="22" customFormat="false" ht="15" hidden="false" customHeight="true" outlineLevel="0" collapsed="false">
      <c r="A22" s="6" t="s">
        <v>521</v>
      </c>
      <c r="B22" s="6" t="s">
        <v>493</v>
      </c>
      <c r="C22" s="16" t="s">
        <v>522</v>
      </c>
      <c r="D22" s="16" t="s">
        <v>523</v>
      </c>
      <c r="E22" s="6" t="s">
        <v>464</v>
      </c>
      <c r="F22" s="6" t="s">
        <v>453</v>
      </c>
      <c r="G22" s="16" t="s">
        <v>524</v>
      </c>
    </row>
    <row r="23" customFormat="false" ht="15" hidden="false" customHeight="true" outlineLevel="0" collapsed="false">
      <c r="A23" s="6" t="s">
        <v>525</v>
      </c>
      <c r="B23" s="6" t="s">
        <v>493</v>
      </c>
      <c r="C23" s="16" t="s">
        <v>526</v>
      </c>
      <c r="D23" s="16" t="s">
        <v>527</v>
      </c>
      <c r="E23" s="6" t="s">
        <v>461</v>
      </c>
      <c r="F23" s="6" t="s">
        <v>453</v>
      </c>
      <c r="G23" s="16" t="s">
        <v>528</v>
      </c>
    </row>
    <row r="24" customFormat="false" ht="23.25" hidden="false" customHeight="true" outlineLevel="0" collapsed="false">
      <c r="A24" s="6" t="s">
        <v>529</v>
      </c>
      <c r="B24" s="6" t="s">
        <v>493</v>
      </c>
      <c r="C24" s="16" t="s">
        <v>530</v>
      </c>
      <c r="D24" s="16" t="s">
        <v>531</v>
      </c>
      <c r="E24" s="6" t="s">
        <v>452</v>
      </c>
      <c r="F24" s="6" t="s">
        <v>453</v>
      </c>
      <c r="G24" s="16" t="s">
        <v>532</v>
      </c>
    </row>
    <row r="25" customFormat="false" ht="23.25" hidden="false" customHeight="true" outlineLevel="0" collapsed="false">
      <c r="A25" s="6" t="s">
        <v>533</v>
      </c>
      <c r="B25" s="6" t="s">
        <v>493</v>
      </c>
      <c r="C25" s="16" t="s">
        <v>534</v>
      </c>
      <c r="D25" s="16" t="s">
        <v>535</v>
      </c>
      <c r="E25" s="6" t="s">
        <v>464</v>
      </c>
      <c r="F25" s="6" t="s">
        <v>453</v>
      </c>
      <c r="G25" s="16" t="s">
        <v>536</v>
      </c>
    </row>
    <row r="26" customFormat="false" ht="23.25" hidden="false" customHeight="true" outlineLevel="0" collapsed="false">
      <c r="A26" s="6" t="s">
        <v>537</v>
      </c>
      <c r="B26" s="6" t="s">
        <v>493</v>
      </c>
      <c r="C26" s="16" t="s">
        <v>538</v>
      </c>
      <c r="D26" s="16" t="s">
        <v>539</v>
      </c>
      <c r="E26" s="6" t="s">
        <v>461</v>
      </c>
      <c r="F26" s="6" t="s">
        <v>453</v>
      </c>
      <c r="G26" s="16" t="s">
        <v>540</v>
      </c>
    </row>
    <row r="27" customFormat="false" ht="23.25" hidden="false" customHeight="true" outlineLevel="0" collapsed="false">
      <c r="A27" s="6" t="s">
        <v>541</v>
      </c>
      <c r="B27" s="6" t="s">
        <v>493</v>
      </c>
      <c r="C27" s="16" t="s">
        <v>542</v>
      </c>
      <c r="D27" s="16" t="s">
        <v>543</v>
      </c>
      <c r="E27" s="6" t="s">
        <v>452</v>
      </c>
      <c r="F27" s="6" t="s">
        <v>453</v>
      </c>
      <c r="G27" s="16" t="s">
        <v>544</v>
      </c>
    </row>
    <row r="28" customFormat="false" ht="23.25" hidden="false" customHeight="true" outlineLevel="0" collapsed="false">
      <c r="A28" s="6" t="s">
        <v>545</v>
      </c>
      <c r="B28" s="6" t="s">
        <v>39</v>
      </c>
      <c r="C28" s="16" t="s">
        <v>456</v>
      </c>
      <c r="D28" s="16" t="s">
        <v>546</v>
      </c>
      <c r="E28" s="6" t="s">
        <v>452</v>
      </c>
      <c r="F28" s="6" t="s">
        <v>453</v>
      </c>
      <c r="G28" s="16" t="s">
        <v>547</v>
      </c>
    </row>
    <row r="29" customFormat="false" ht="23.25" hidden="false" customHeight="true" outlineLevel="0" collapsed="false">
      <c r="A29" s="6" t="s">
        <v>548</v>
      </c>
      <c r="B29" s="6" t="s">
        <v>43</v>
      </c>
      <c r="C29" s="16" t="s">
        <v>459</v>
      </c>
      <c r="D29" s="16" t="s">
        <v>549</v>
      </c>
      <c r="E29" s="6" t="s">
        <v>464</v>
      </c>
      <c r="F29" s="6" t="s">
        <v>453</v>
      </c>
      <c r="G29" s="16" t="s">
        <v>550</v>
      </c>
    </row>
    <row r="30" customFormat="false" ht="23.25" hidden="false" customHeight="true" outlineLevel="0" collapsed="false">
      <c r="A30" s="6" t="s">
        <v>551</v>
      </c>
      <c r="B30" s="6" t="s">
        <v>43</v>
      </c>
      <c r="C30" s="16" t="s">
        <v>470</v>
      </c>
      <c r="D30" s="16" t="s">
        <v>552</v>
      </c>
      <c r="E30" s="6" t="s">
        <v>464</v>
      </c>
      <c r="F30" s="6" t="s">
        <v>453</v>
      </c>
      <c r="G30" s="16" t="s">
        <v>553</v>
      </c>
    </row>
    <row r="31" customFormat="false" ht="45.75" hidden="false" customHeight="true" outlineLevel="0" collapsed="false">
      <c r="A31" s="6" t="s">
        <v>554</v>
      </c>
      <c r="B31" s="6" t="s">
        <v>47</v>
      </c>
      <c r="C31" s="16" t="s">
        <v>555</v>
      </c>
      <c r="D31" s="16" t="s">
        <v>556</v>
      </c>
      <c r="E31" s="6" t="s">
        <v>452</v>
      </c>
      <c r="F31" s="6" t="s">
        <v>453</v>
      </c>
      <c r="G31" s="16" t="s">
        <v>557</v>
      </c>
    </row>
    <row r="32" customFormat="false" ht="23.25" hidden="false" customHeight="true" outlineLevel="0" collapsed="false">
      <c r="A32" s="6" t="s">
        <v>558</v>
      </c>
      <c r="B32" s="6" t="s">
        <v>559</v>
      </c>
      <c r="C32" s="16" t="s">
        <v>515</v>
      </c>
      <c r="D32" s="16" t="s">
        <v>560</v>
      </c>
      <c r="E32" s="6" t="s">
        <v>452</v>
      </c>
      <c r="F32" s="6" t="s">
        <v>453</v>
      </c>
      <c r="G32" s="16" t="s">
        <v>561</v>
      </c>
    </row>
    <row r="33" customFormat="false" ht="23.25" hidden="false" customHeight="true" outlineLevel="0" collapsed="false">
      <c r="A33" s="6" t="s">
        <v>562</v>
      </c>
      <c r="B33" s="6" t="s">
        <v>559</v>
      </c>
      <c r="C33" s="16" t="s">
        <v>563</v>
      </c>
      <c r="D33" s="16" t="s">
        <v>564</v>
      </c>
      <c r="E33" s="6" t="s">
        <v>452</v>
      </c>
      <c r="F33" s="6" t="s">
        <v>453</v>
      </c>
      <c r="G33" s="16" t="s">
        <v>565</v>
      </c>
    </row>
    <row r="34" customFormat="false" ht="23.25" hidden="false" customHeight="true" outlineLevel="0" collapsed="false">
      <c r="A34" s="6" t="s">
        <v>566</v>
      </c>
      <c r="B34" s="6" t="s">
        <v>493</v>
      </c>
      <c r="C34" s="16" t="s">
        <v>567</v>
      </c>
      <c r="D34" s="16" t="s">
        <v>568</v>
      </c>
      <c r="E34" s="6" t="s">
        <v>461</v>
      </c>
      <c r="F34" s="6" t="s">
        <v>569</v>
      </c>
      <c r="G34" s="16" t="s">
        <v>570</v>
      </c>
    </row>
    <row r="35" customFormat="false" ht="34.5" hidden="false" customHeight="true" outlineLevel="0" collapsed="false">
      <c r="A35" s="6" t="s">
        <v>571</v>
      </c>
      <c r="B35" s="6" t="s">
        <v>493</v>
      </c>
      <c r="C35" s="16" t="s">
        <v>572</v>
      </c>
      <c r="D35" s="16" t="s">
        <v>573</v>
      </c>
      <c r="E35" s="6" t="s">
        <v>461</v>
      </c>
      <c r="F35" s="6" t="s">
        <v>569</v>
      </c>
      <c r="G35" s="16" t="s">
        <v>574</v>
      </c>
    </row>
    <row r="36" customFormat="false" ht="15" hidden="false" customHeight="true" outlineLevel="0" collapsed="false">
      <c r="A36" s="6" t="s">
        <v>575</v>
      </c>
      <c r="B36" s="6" t="s">
        <v>493</v>
      </c>
      <c r="C36" s="16" t="s">
        <v>572</v>
      </c>
      <c r="D36" s="16" t="s">
        <v>576</v>
      </c>
      <c r="E36" s="6" t="s">
        <v>461</v>
      </c>
      <c r="F36" s="6" t="s">
        <v>453</v>
      </c>
      <c r="G36" s="16" t="s">
        <v>577</v>
      </c>
    </row>
    <row r="37" customFormat="false" ht="34.5" hidden="false" customHeight="true" outlineLevel="0" collapsed="false">
      <c r="A37" s="20" t="s">
        <v>578</v>
      </c>
      <c r="B37" s="20" t="s">
        <v>56</v>
      </c>
      <c r="C37" s="20" t="s">
        <v>579</v>
      </c>
      <c r="D37" s="16" t="s">
        <v>580</v>
      </c>
      <c r="E37" s="20" t="s">
        <v>464</v>
      </c>
      <c r="F37" s="20" t="s">
        <v>453</v>
      </c>
      <c r="G37" s="16" t="s">
        <v>581</v>
      </c>
    </row>
    <row r="38" customFormat="false" ht="34.5" hidden="false" customHeight="true" outlineLevel="0" collapsed="false">
      <c r="A38" s="20" t="s">
        <v>582</v>
      </c>
      <c r="B38" s="20" t="s">
        <v>583</v>
      </c>
      <c r="C38" s="20" t="s">
        <v>584</v>
      </c>
      <c r="D38" s="16" t="s">
        <v>585</v>
      </c>
      <c r="E38" s="20" t="s">
        <v>461</v>
      </c>
      <c r="F38" s="20" t="s">
        <v>569</v>
      </c>
      <c r="G38" s="16" t="s">
        <v>586</v>
      </c>
    </row>
    <row r="39" customFormat="false" ht="45.75" hidden="false" customHeight="true" outlineLevel="0" collapsed="false">
      <c r="A39" s="20" t="s">
        <v>587</v>
      </c>
      <c r="B39" s="20" t="s">
        <v>52</v>
      </c>
      <c r="C39" s="20" t="s">
        <v>467</v>
      </c>
      <c r="D39" s="16" t="s">
        <v>588</v>
      </c>
      <c r="E39" s="20" t="s">
        <v>452</v>
      </c>
      <c r="F39" s="20" t="s">
        <v>453</v>
      </c>
      <c r="G39" s="16" t="s">
        <v>589</v>
      </c>
    </row>
    <row r="40" customFormat="false" ht="23.25" hidden="false" customHeight="true" outlineLevel="0" collapsed="false">
      <c r="A40" s="20" t="s">
        <v>590</v>
      </c>
      <c r="B40" s="20" t="s">
        <v>521</v>
      </c>
      <c r="C40" s="20" t="s">
        <v>591</v>
      </c>
      <c r="D40" s="16" t="s">
        <v>592</v>
      </c>
      <c r="E40" s="20" t="s">
        <v>464</v>
      </c>
      <c r="F40" s="20" t="s">
        <v>569</v>
      </c>
      <c r="G40" s="16" t="s">
        <v>593</v>
      </c>
    </row>
    <row r="41" customFormat="false" ht="34.5" hidden="false" customHeight="true" outlineLevel="0" collapsed="false">
      <c r="A41" s="20" t="s">
        <v>594</v>
      </c>
      <c r="B41" s="20" t="s">
        <v>76</v>
      </c>
      <c r="C41" s="20" t="s">
        <v>595</v>
      </c>
      <c r="D41" s="16" t="s">
        <v>596</v>
      </c>
      <c r="E41" s="20" t="s">
        <v>464</v>
      </c>
      <c r="F41" s="20" t="s">
        <v>453</v>
      </c>
      <c r="G41" s="16" t="s">
        <v>597</v>
      </c>
    </row>
    <row r="42" customFormat="false" ht="34.5" hidden="false" customHeight="true" outlineLevel="0" collapsed="false">
      <c r="A42" s="20" t="s">
        <v>598</v>
      </c>
      <c r="B42" s="20" t="s">
        <v>76</v>
      </c>
      <c r="C42" s="20" t="s">
        <v>599</v>
      </c>
      <c r="D42" s="16" t="s">
        <v>600</v>
      </c>
      <c r="E42" s="20" t="s">
        <v>461</v>
      </c>
      <c r="F42" s="20" t="s">
        <v>453</v>
      </c>
      <c r="G42" s="16" t="s">
        <v>601</v>
      </c>
    </row>
    <row r="43" customFormat="false" ht="23.25" hidden="false" customHeight="true" outlineLevel="0" collapsed="false">
      <c r="A43" s="20" t="s">
        <v>602</v>
      </c>
      <c r="B43" s="20" t="s">
        <v>84</v>
      </c>
      <c r="C43" s="20" t="s">
        <v>603</v>
      </c>
      <c r="D43" s="16" t="s">
        <v>604</v>
      </c>
      <c r="E43" s="20" t="s">
        <v>461</v>
      </c>
      <c r="F43" s="20" t="s">
        <v>453</v>
      </c>
      <c r="G43" s="16" t="s">
        <v>605</v>
      </c>
    </row>
    <row r="44" customFormat="false" ht="23.25" hidden="false" customHeight="true" outlineLevel="0" collapsed="false">
      <c r="A44" s="20" t="s">
        <v>606</v>
      </c>
      <c r="B44" s="20" t="s">
        <v>76</v>
      </c>
      <c r="C44" s="20" t="s">
        <v>607</v>
      </c>
      <c r="D44" s="16" t="s">
        <v>608</v>
      </c>
      <c r="E44" s="20" t="s">
        <v>461</v>
      </c>
      <c r="F44" s="20" t="s">
        <v>453</v>
      </c>
      <c r="G44" s="16" t="s">
        <v>609</v>
      </c>
    </row>
    <row r="45" customFormat="false" ht="34.5" hidden="false" customHeight="true" outlineLevel="0" collapsed="false">
      <c r="A45" s="20" t="s">
        <v>610</v>
      </c>
      <c r="B45" s="20" t="s">
        <v>183</v>
      </c>
      <c r="C45" s="20" t="s">
        <v>611</v>
      </c>
      <c r="D45" s="16" t="s">
        <v>612</v>
      </c>
      <c r="E45" s="20" t="s">
        <v>452</v>
      </c>
      <c r="F45" s="20" t="s">
        <v>453</v>
      </c>
      <c r="G45" s="16" t="s">
        <v>613</v>
      </c>
    </row>
    <row r="46" customFormat="false" ht="23.25" hidden="false" customHeight="true" outlineLevel="0" collapsed="false">
      <c r="A46" s="20" t="s">
        <v>614</v>
      </c>
      <c r="B46" s="20" t="s">
        <v>80</v>
      </c>
      <c r="C46" s="20" t="s">
        <v>615</v>
      </c>
      <c r="D46" s="16" t="s">
        <v>616</v>
      </c>
      <c r="E46" s="20" t="s">
        <v>452</v>
      </c>
      <c r="F46" s="20" t="s">
        <v>453</v>
      </c>
      <c r="G46" s="16" t="s">
        <v>617</v>
      </c>
    </row>
    <row r="47" customFormat="false" ht="23.25" hidden="false" customHeight="true" outlineLevel="0" collapsed="false">
      <c r="A47" s="20" t="s">
        <v>618</v>
      </c>
      <c r="B47" s="20" t="s">
        <v>183</v>
      </c>
      <c r="C47" s="20" t="s">
        <v>619</v>
      </c>
      <c r="D47" s="16" t="s">
        <v>620</v>
      </c>
      <c r="E47" s="20" t="s">
        <v>464</v>
      </c>
      <c r="F47" s="20" t="s">
        <v>453</v>
      </c>
      <c r="G47" s="16" t="s">
        <v>621</v>
      </c>
    </row>
    <row r="48" customFormat="false" ht="34.5" hidden="false" customHeight="true" outlineLevel="0" collapsed="false">
      <c r="A48" s="20" t="s">
        <v>622</v>
      </c>
      <c r="B48" s="20" t="s">
        <v>183</v>
      </c>
      <c r="C48" s="20" t="s">
        <v>515</v>
      </c>
      <c r="D48" s="16" t="s">
        <v>623</v>
      </c>
      <c r="E48" s="20" t="s">
        <v>464</v>
      </c>
      <c r="F48" s="20" t="s">
        <v>453</v>
      </c>
      <c r="G48" s="16" t="s">
        <v>624</v>
      </c>
    </row>
    <row r="49" customFormat="false" ht="34.5" hidden="false" customHeight="true" outlineLevel="0" collapsed="false">
      <c r="A49" s="20" t="s">
        <v>625</v>
      </c>
      <c r="B49" s="20" t="s">
        <v>207</v>
      </c>
      <c r="C49" s="20" t="s">
        <v>626</v>
      </c>
      <c r="D49" s="16" t="s">
        <v>627</v>
      </c>
      <c r="E49" s="20" t="s">
        <v>461</v>
      </c>
      <c r="F49" s="20" t="s">
        <v>453</v>
      </c>
      <c r="G49" s="16" t="s">
        <v>628</v>
      </c>
    </row>
    <row r="50" customFormat="false" ht="34.5" hidden="false" customHeight="true" outlineLevel="0" collapsed="false">
      <c r="A50" s="20" t="s">
        <v>629</v>
      </c>
      <c r="B50" s="20" t="s">
        <v>231</v>
      </c>
      <c r="C50" s="20" t="s">
        <v>630</v>
      </c>
      <c r="D50" s="16" t="s">
        <v>631</v>
      </c>
      <c r="E50" s="20" t="s">
        <v>452</v>
      </c>
      <c r="F50" s="20" t="s">
        <v>453</v>
      </c>
      <c r="G50" s="16" t="s">
        <v>632</v>
      </c>
    </row>
    <row r="51" customFormat="false" ht="23.25" hidden="false" customHeight="true" outlineLevel="0" collapsed="false">
      <c r="A51" s="20" t="s">
        <v>633</v>
      </c>
      <c r="B51" s="20" t="s">
        <v>231</v>
      </c>
      <c r="C51" s="20" t="s">
        <v>634</v>
      </c>
      <c r="D51" s="16" t="s">
        <v>635</v>
      </c>
      <c r="E51" s="20" t="s">
        <v>464</v>
      </c>
      <c r="F51" s="20" t="s">
        <v>453</v>
      </c>
      <c r="G51" s="16" t="s">
        <v>636</v>
      </c>
    </row>
    <row r="52" customFormat="false" ht="23.25" hidden="false" customHeight="true" outlineLevel="0" collapsed="false">
      <c r="A52" s="20" t="s">
        <v>637</v>
      </c>
      <c r="B52" s="20" t="s">
        <v>231</v>
      </c>
      <c r="C52" s="20" t="s">
        <v>603</v>
      </c>
      <c r="D52" s="16" t="s">
        <v>638</v>
      </c>
      <c r="E52" s="20" t="s">
        <v>461</v>
      </c>
      <c r="F52" s="20" t="s">
        <v>453</v>
      </c>
      <c r="G52" s="16" t="s">
        <v>639</v>
      </c>
    </row>
    <row r="53" customFormat="false" ht="23.25" hidden="false" customHeight="true" outlineLevel="0" collapsed="false">
      <c r="A53" s="20" t="s">
        <v>640</v>
      </c>
      <c r="B53" s="20" t="s">
        <v>231</v>
      </c>
      <c r="C53" s="20" t="s">
        <v>641</v>
      </c>
      <c r="D53" s="16" t="s">
        <v>642</v>
      </c>
      <c r="E53" s="20" t="s">
        <v>464</v>
      </c>
      <c r="F53" s="20" t="s">
        <v>453</v>
      </c>
      <c r="G53" s="16" t="s">
        <v>643</v>
      </c>
    </row>
    <row r="54" customFormat="false" ht="23.25" hidden="false" customHeight="true" outlineLevel="0" collapsed="false">
      <c r="A54" s="20" t="s">
        <v>644</v>
      </c>
      <c r="B54" s="20" t="s">
        <v>231</v>
      </c>
      <c r="C54" s="20" t="s">
        <v>645</v>
      </c>
      <c r="D54" s="16" t="s">
        <v>646</v>
      </c>
      <c r="E54" s="20" t="s">
        <v>452</v>
      </c>
      <c r="F54" s="20" t="s">
        <v>453</v>
      </c>
      <c r="G54" s="16" t="s">
        <v>647</v>
      </c>
    </row>
    <row r="55" customFormat="false" ht="15" hidden="false" customHeight="true" outlineLevel="0" collapsed="false">
      <c r="A55" s="20" t="s">
        <v>648</v>
      </c>
      <c r="B55" s="20" t="s">
        <v>231</v>
      </c>
      <c r="C55" s="20" t="s">
        <v>649</v>
      </c>
      <c r="D55" s="16" t="s">
        <v>650</v>
      </c>
      <c r="E55" s="20" t="s">
        <v>464</v>
      </c>
      <c r="F55" s="20" t="s">
        <v>453</v>
      </c>
      <c r="G55" s="16" t="s">
        <v>651</v>
      </c>
    </row>
    <row r="56" customFormat="false" ht="23.25" hidden="false" customHeight="true" outlineLevel="0" collapsed="false">
      <c r="A56" s="20" t="s">
        <v>652</v>
      </c>
      <c r="B56" s="20" t="s">
        <v>231</v>
      </c>
      <c r="C56" s="20" t="s">
        <v>641</v>
      </c>
      <c r="D56" s="16" t="s">
        <v>653</v>
      </c>
      <c r="E56" s="20" t="s">
        <v>464</v>
      </c>
      <c r="F56" s="20" t="s">
        <v>453</v>
      </c>
      <c r="G56" s="16" t="s">
        <v>654</v>
      </c>
    </row>
    <row r="57" customFormat="false" ht="23.25" hidden="false" customHeight="true" outlineLevel="0" collapsed="false">
      <c r="A57" s="20" t="s">
        <v>655</v>
      </c>
      <c r="B57" s="20" t="s">
        <v>231</v>
      </c>
      <c r="C57" s="20" t="s">
        <v>656</v>
      </c>
      <c r="D57" s="16" t="s">
        <v>657</v>
      </c>
      <c r="E57" s="20" t="s">
        <v>464</v>
      </c>
      <c r="F57" s="20" t="s">
        <v>453</v>
      </c>
      <c r="G57" s="16" t="s">
        <v>658</v>
      </c>
    </row>
    <row r="58" customFormat="false" ht="34.5" hidden="false" customHeight="true" outlineLevel="0" collapsed="false">
      <c r="A58" s="20" t="s">
        <v>659</v>
      </c>
      <c r="B58" s="20" t="s">
        <v>231</v>
      </c>
      <c r="C58" s="20" t="s">
        <v>660</v>
      </c>
      <c r="D58" s="16" t="s">
        <v>661</v>
      </c>
      <c r="E58" s="20" t="s">
        <v>452</v>
      </c>
      <c r="F58" s="20" t="s">
        <v>453</v>
      </c>
      <c r="G58" s="16" t="s">
        <v>662</v>
      </c>
    </row>
    <row r="59" customFormat="false" ht="23.25" hidden="false" customHeight="true" outlineLevel="0" collapsed="false">
      <c r="A59" s="20" t="s">
        <v>663</v>
      </c>
      <c r="B59" s="20" t="s">
        <v>231</v>
      </c>
      <c r="C59" s="20" t="s">
        <v>664</v>
      </c>
      <c r="D59" s="16" t="s">
        <v>665</v>
      </c>
      <c r="E59" s="20" t="s">
        <v>464</v>
      </c>
      <c r="F59" s="20" t="s">
        <v>453</v>
      </c>
      <c r="G59" s="16" t="s">
        <v>666</v>
      </c>
    </row>
    <row r="60" customFormat="false" ht="34.5" hidden="false" customHeight="true" outlineLevel="0" collapsed="false">
      <c r="A60" s="20" t="s">
        <v>667</v>
      </c>
      <c r="B60" s="20" t="s">
        <v>231</v>
      </c>
      <c r="C60" s="20" t="s">
        <v>668</v>
      </c>
      <c r="D60" s="16" t="s">
        <v>669</v>
      </c>
      <c r="E60" s="20" t="s">
        <v>464</v>
      </c>
      <c r="F60" s="20" t="s">
        <v>508</v>
      </c>
      <c r="G60" s="16" t="s">
        <v>670</v>
      </c>
    </row>
    <row r="61" customFormat="false" ht="23.25" hidden="false" customHeight="true" outlineLevel="0" collapsed="false">
      <c r="A61" s="20" t="s">
        <v>671</v>
      </c>
      <c r="B61" s="20" t="s">
        <v>231</v>
      </c>
      <c r="C61" s="20" t="s">
        <v>672</v>
      </c>
      <c r="D61" s="16" t="s">
        <v>673</v>
      </c>
      <c r="E61" s="20" t="s">
        <v>464</v>
      </c>
      <c r="F61" s="20" t="s">
        <v>453</v>
      </c>
      <c r="G61" s="16" t="s">
        <v>674</v>
      </c>
    </row>
    <row r="62" customFormat="false" ht="34.5" hidden="false" customHeight="true" outlineLevel="0" collapsed="false">
      <c r="A62" s="20" t="s">
        <v>675</v>
      </c>
      <c r="B62" s="20" t="s">
        <v>255</v>
      </c>
      <c r="C62" s="20" t="s">
        <v>676</v>
      </c>
      <c r="D62" s="16" t="s">
        <v>677</v>
      </c>
      <c r="E62" s="20" t="s">
        <v>452</v>
      </c>
      <c r="F62" s="20" t="s">
        <v>453</v>
      </c>
      <c r="G62" s="16" t="s">
        <v>678</v>
      </c>
    </row>
    <row r="63" customFormat="false" ht="34.5" hidden="false" customHeight="true" outlineLevel="0" collapsed="false">
      <c r="A63" s="20" t="s">
        <v>679</v>
      </c>
      <c r="B63" s="20" t="s">
        <v>267</v>
      </c>
      <c r="C63" s="20" t="s">
        <v>680</v>
      </c>
      <c r="D63" s="16" t="s">
        <v>681</v>
      </c>
      <c r="E63" s="20" t="s">
        <v>464</v>
      </c>
      <c r="F63" s="20" t="s">
        <v>453</v>
      </c>
      <c r="G63" s="16" t="s">
        <v>682</v>
      </c>
    </row>
    <row r="64" customFormat="false" ht="34.5" hidden="false" customHeight="true" outlineLevel="0" collapsed="false">
      <c r="A64" s="20" t="s">
        <v>683</v>
      </c>
      <c r="B64" s="20" t="s">
        <v>275</v>
      </c>
      <c r="C64" s="20" t="s">
        <v>684</v>
      </c>
      <c r="D64" s="16" t="s">
        <v>685</v>
      </c>
      <c r="E64" s="20" t="s">
        <v>464</v>
      </c>
      <c r="F64" s="20" t="s">
        <v>453</v>
      </c>
      <c r="G64" s="16" t="s">
        <v>686</v>
      </c>
    </row>
    <row r="65" customFormat="false" ht="23.25" hidden="false" customHeight="true" outlineLevel="0" collapsed="false">
      <c r="A65" s="20" t="s">
        <v>687</v>
      </c>
      <c r="B65" s="20" t="s">
        <v>263</v>
      </c>
      <c r="C65" s="20" t="s">
        <v>555</v>
      </c>
      <c r="D65" s="16" t="s">
        <v>688</v>
      </c>
      <c r="E65" s="20" t="s">
        <v>461</v>
      </c>
      <c r="F65" s="20" t="s">
        <v>453</v>
      </c>
      <c r="G65" s="16" t="s">
        <v>689</v>
      </c>
    </row>
    <row r="66" customFormat="false" ht="34.5" hidden="false" customHeight="true" outlineLevel="0" collapsed="false">
      <c r="A66" s="20" t="s">
        <v>690</v>
      </c>
      <c r="B66" s="20" t="s">
        <v>275</v>
      </c>
      <c r="C66" s="20" t="s">
        <v>691</v>
      </c>
      <c r="D66" s="16" t="s">
        <v>692</v>
      </c>
      <c r="E66" s="20" t="s">
        <v>464</v>
      </c>
      <c r="F66" s="20" t="s">
        <v>453</v>
      </c>
      <c r="G66" s="16" t="s">
        <v>693</v>
      </c>
    </row>
    <row r="67" customFormat="false" ht="57" hidden="false" customHeight="true" outlineLevel="0" collapsed="false">
      <c r="A67" s="20" t="s">
        <v>694</v>
      </c>
      <c r="B67" s="20" t="s">
        <v>271</v>
      </c>
      <c r="C67" s="20" t="s">
        <v>695</v>
      </c>
      <c r="D67" s="16" t="s">
        <v>696</v>
      </c>
      <c r="E67" s="20" t="s">
        <v>464</v>
      </c>
      <c r="F67" s="20" t="s">
        <v>453</v>
      </c>
      <c r="G67" s="16" t="s">
        <v>697</v>
      </c>
    </row>
    <row r="68" customFormat="false" ht="45.75" hidden="false" customHeight="true" outlineLevel="0" collapsed="false">
      <c r="A68" s="20" t="s">
        <v>698</v>
      </c>
      <c r="B68" s="20" t="s">
        <v>307</v>
      </c>
      <c r="C68" s="20" t="s">
        <v>699</v>
      </c>
      <c r="D68" s="16" t="s">
        <v>700</v>
      </c>
      <c r="E68" s="20" t="s">
        <v>452</v>
      </c>
      <c r="F68" s="20" t="s">
        <v>453</v>
      </c>
      <c r="G68" s="16" t="s">
        <v>701</v>
      </c>
    </row>
    <row r="69" customFormat="false" ht="34.5" hidden="false" customHeight="true" outlineLevel="0" collapsed="false">
      <c r="A69" s="20" t="s">
        <v>702</v>
      </c>
      <c r="B69" s="20" t="s">
        <v>307</v>
      </c>
      <c r="C69" s="20" t="s">
        <v>703</v>
      </c>
      <c r="D69" s="16" t="s">
        <v>704</v>
      </c>
      <c r="E69" s="20" t="s">
        <v>464</v>
      </c>
      <c r="F69" s="20" t="s">
        <v>453</v>
      </c>
      <c r="G69" s="16" t="s">
        <v>705</v>
      </c>
    </row>
    <row r="70" customFormat="false" ht="34.5" hidden="false" customHeight="true" outlineLevel="0" collapsed="false">
      <c r="A70" s="20" t="s">
        <v>706</v>
      </c>
      <c r="B70" s="20" t="s">
        <v>307</v>
      </c>
      <c r="C70" s="20" t="s">
        <v>707</v>
      </c>
      <c r="D70" s="16" t="s">
        <v>708</v>
      </c>
      <c r="E70" s="20" t="s">
        <v>464</v>
      </c>
      <c r="F70" s="20" t="s">
        <v>453</v>
      </c>
      <c r="G70" s="16" t="s">
        <v>709</v>
      </c>
    </row>
    <row r="71" customFormat="false" ht="68.25" hidden="false" customHeight="true" outlineLevel="0" collapsed="false">
      <c r="A71" s="20" t="s">
        <v>710</v>
      </c>
      <c r="B71" s="20" t="s">
        <v>263</v>
      </c>
      <c r="C71" s="20" t="s">
        <v>711</v>
      </c>
      <c r="D71" s="16" t="s">
        <v>712</v>
      </c>
      <c r="E71" s="20" t="s">
        <v>464</v>
      </c>
      <c r="F71" s="20" t="s">
        <v>508</v>
      </c>
      <c r="G71" s="16" t="s">
        <v>713</v>
      </c>
    </row>
    <row r="72" customFormat="false" ht="68.25" hidden="false" customHeight="true" outlineLevel="0" collapsed="false">
      <c r="A72" s="20" t="s">
        <v>714</v>
      </c>
      <c r="B72" s="20" t="s">
        <v>715</v>
      </c>
      <c r="C72" s="20" t="s">
        <v>716</v>
      </c>
      <c r="D72" s="16" t="s">
        <v>717</v>
      </c>
      <c r="E72" s="20" t="s">
        <v>452</v>
      </c>
      <c r="F72" s="20" t="s">
        <v>453</v>
      </c>
      <c r="G72" s="16" t="s">
        <v>718</v>
      </c>
    </row>
    <row r="73" customFormat="false" ht="57" hidden="false" customHeight="true" outlineLevel="0" collapsed="false">
      <c r="A73" s="20" t="s">
        <v>719</v>
      </c>
      <c r="B73" s="20" t="s">
        <v>715</v>
      </c>
      <c r="C73" s="20" t="s">
        <v>720</v>
      </c>
      <c r="D73" s="16" t="s">
        <v>721</v>
      </c>
      <c r="E73" s="20" t="s">
        <v>452</v>
      </c>
      <c r="F73" s="20" t="s">
        <v>453</v>
      </c>
      <c r="G73" s="16" t="s">
        <v>722</v>
      </c>
    </row>
    <row r="74" customFormat="false" ht="45.75" hidden="false" customHeight="true" outlineLevel="0" collapsed="false">
      <c r="A74" s="20" t="s">
        <v>723</v>
      </c>
      <c r="B74" s="20" t="s">
        <v>715</v>
      </c>
      <c r="C74" s="20" t="s">
        <v>660</v>
      </c>
      <c r="D74" s="16" t="s">
        <v>724</v>
      </c>
      <c r="E74" s="20" t="s">
        <v>464</v>
      </c>
      <c r="F74" s="20" t="s">
        <v>453</v>
      </c>
      <c r="G74" s="16" t="s">
        <v>725</v>
      </c>
    </row>
    <row r="75" customFormat="false" ht="57" hidden="false" customHeight="true" outlineLevel="0" collapsed="false">
      <c r="A75" s="20" t="s">
        <v>726</v>
      </c>
      <c r="B75" s="20" t="s">
        <v>351</v>
      </c>
      <c r="C75" s="20" t="s">
        <v>727</v>
      </c>
      <c r="D75" s="16" t="s">
        <v>728</v>
      </c>
      <c r="E75" s="20" t="s">
        <v>452</v>
      </c>
      <c r="F75" s="20" t="s">
        <v>453</v>
      </c>
      <c r="G75" s="16" t="s">
        <v>729</v>
      </c>
    </row>
    <row r="76" customFormat="false" ht="34.5" hidden="false" customHeight="true" outlineLevel="0" collapsed="false">
      <c r="A76" s="20" t="s">
        <v>730</v>
      </c>
      <c r="B76" s="20" t="s">
        <v>351</v>
      </c>
      <c r="C76" s="20" t="s">
        <v>731</v>
      </c>
      <c r="D76" s="16" t="s">
        <v>732</v>
      </c>
      <c r="E76" s="20" t="s">
        <v>452</v>
      </c>
      <c r="F76" s="20" t="s">
        <v>453</v>
      </c>
      <c r="G76" s="16" t="s">
        <v>733</v>
      </c>
    </row>
    <row r="77" customFormat="false" ht="34.5" hidden="false" customHeight="true" outlineLevel="0" collapsed="false">
      <c r="A77" s="20" t="s">
        <v>734</v>
      </c>
      <c r="B77" s="20" t="s">
        <v>351</v>
      </c>
      <c r="C77" s="20" t="s">
        <v>735</v>
      </c>
      <c r="D77" s="16" t="s">
        <v>736</v>
      </c>
      <c r="E77" s="20" t="s">
        <v>464</v>
      </c>
      <c r="F77" s="20" t="s">
        <v>569</v>
      </c>
      <c r="G77" s="16" t="s">
        <v>737</v>
      </c>
    </row>
    <row r="78" customFormat="false" ht="34.5" hidden="false" customHeight="true" outlineLevel="0" collapsed="false">
      <c r="A78" s="20" t="s">
        <v>738</v>
      </c>
      <c r="B78" s="20" t="s">
        <v>739</v>
      </c>
      <c r="C78" s="20" t="s">
        <v>740</v>
      </c>
      <c r="D78" s="16" t="s">
        <v>741</v>
      </c>
      <c r="E78" s="20" t="s">
        <v>464</v>
      </c>
      <c r="F78" s="20" t="s">
        <v>569</v>
      </c>
      <c r="G78" s="16" t="s">
        <v>742</v>
      </c>
    </row>
    <row r="79" customFormat="false" ht="45.75" hidden="false" customHeight="true" outlineLevel="0" collapsed="false">
      <c r="A79" s="20" t="s">
        <v>743</v>
      </c>
      <c r="B79" s="20" t="s">
        <v>739</v>
      </c>
      <c r="C79" s="20" t="s">
        <v>744</v>
      </c>
      <c r="D79" s="16" t="s">
        <v>745</v>
      </c>
      <c r="E79" s="20" t="s">
        <v>464</v>
      </c>
      <c r="F79" s="20" t="s">
        <v>569</v>
      </c>
      <c r="G79" s="16" t="s">
        <v>746</v>
      </c>
    </row>
    <row r="80" customFormat="false" ht="68.25" hidden="false" customHeight="true" outlineLevel="0" collapsed="false">
      <c r="A80" s="20" t="s">
        <v>747</v>
      </c>
      <c r="B80" s="20" t="s">
        <v>379</v>
      </c>
      <c r="C80" s="20" t="s">
        <v>748</v>
      </c>
      <c r="D80" s="16" t="s">
        <v>749</v>
      </c>
      <c r="E80" s="20" t="s">
        <v>464</v>
      </c>
      <c r="F80" s="20" t="s">
        <v>453</v>
      </c>
      <c r="G80" s="16" t="s">
        <v>750</v>
      </c>
    </row>
    <row r="81" customFormat="false" ht="57" hidden="false" customHeight="true" outlineLevel="0" collapsed="false">
      <c r="A81" s="20" t="s">
        <v>751</v>
      </c>
      <c r="B81" s="20" t="s">
        <v>371</v>
      </c>
      <c r="C81" s="20" t="s">
        <v>752</v>
      </c>
      <c r="D81" s="16" t="s">
        <v>753</v>
      </c>
      <c r="E81" s="20" t="s">
        <v>464</v>
      </c>
      <c r="F81" s="20" t="s">
        <v>453</v>
      </c>
      <c r="G81" s="16" t="s">
        <v>754</v>
      </c>
    </row>
    <row r="82" customFormat="false" ht="68.25" hidden="false" customHeight="true" outlineLevel="0" collapsed="false">
      <c r="A82" s="20" t="s">
        <v>755</v>
      </c>
      <c r="B82" s="20" t="s">
        <v>367</v>
      </c>
      <c r="C82" s="20" t="s">
        <v>756</v>
      </c>
      <c r="D82" s="16" t="s">
        <v>757</v>
      </c>
      <c r="E82" s="20" t="s">
        <v>464</v>
      </c>
      <c r="F82" s="20" t="s">
        <v>453</v>
      </c>
      <c r="G82" s="16" t="s">
        <v>758</v>
      </c>
    </row>
    <row r="83" customFormat="false" ht="45.75" hidden="false" customHeight="true" outlineLevel="0" collapsed="false">
      <c r="A83" s="20" t="s">
        <v>759</v>
      </c>
      <c r="B83" s="20" t="s">
        <v>367</v>
      </c>
      <c r="C83" s="20" t="s">
        <v>760</v>
      </c>
      <c r="D83" s="16" t="s">
        <v>761</v>
      </c>
      <c r="E83" s="20" t="s">
        <v>461</v>
      </c>
      <c r="F83" s="20" t="s">
        <v>453</v>
      </c>
      <c r="G83" s="16" t="s">
        <v>762</v>
      </c>
    </row>
    <row r="84" customFormat="false" ht="45.75" hidden="false" customHeight="true" outlineLevel="0" collapsed="false">
      <c r="A84" s="20" t="s">
        <v>763</v>
      </c>
      <c r="B84" s="20" t="s">
        <v>351</v>
      </c>
      <c r="C84" s="20" t="s">
        <v>764</v>
      </c>
      <c r="D84" s="16" t="s">
        <v>765</v>
      </c>
      <c r="E84" s="20" t="s">
        <v>464</v>
      </c>
      <c r="F84" s="20" t="s">
        <v>453</v>
      </c>
      <c r="G84" s="16" t="s">
        <v>766</v>
      </c>
    </row>
    <row r="85" customFormat="false" ht="57" hidden="false" customHeight="true" outlineLevel="0" collapsed="false">
      <c r="A85" s="20" t="s">
        <v>767</v>
      </c>
      <c r="B85" s="20" t="s">
        <v>323</v>
      </c>
      <c r="C85" s="20" t="s">
        <v>768</v>
      </c>
      <c r="D85" s="16" t="s">
        <v>769</v>
      </c>
      <c r="E85" s="20" t="s">
        <v>452</v>
      </c>
      <c r="F85" s="20" t="s">
        <v>453</v>
      </c>
      <c r="G85" s="16" t="s">
        <v>770</v>
      </c>
    </row>
    <row r="86" customFormat="false" ht="45.75" hidden="false" customHeight="true" outlineLevel="0" collapsed="false">
      <c r="A86" s="20" t="s">
        <v>771</v>
      </c>
      <c r="B86" s="20" t="s">
        <v>323</v>
      </c>
      <c r="C86" s="20" t="s">
        <v>772</v>
      </c>
      <c r="D86" s="16" t="s">
        <v>773</v>
      </c>
      <c r="E86" s="20" t="s">
        <v>461</v>
      </c>
      <c r="F86" s="20" t="s">
        <v>453</v>
      </c>
      <c r="G86" s="16" t="s">
        <v>774</v>
      </c>
    </row>
    <row r="87" customFormat="false" ht="45.75" hidden="false" customHeight="true" outlineLevel="0" collapsed="false">
      <c r="A87" s="20" t="s">
        <v>775</v>
      </c>
      <c r="B87" s="20" t="s">
        <v>375</v>
      </c>
      <c r="C87" s="20" t="s">
        <v>776</v>
      </c>
      <c r="D87" s="16" t="s">
        <v>777</v>
      </c>
      <c r="E87" s="20" t="s">
        <v>464</v>
      </c>
      <c r="F87" s="20" t="s">
        <v>453</v>
      </c>
      <c r="G87" s="16" t="s">
        <v>778</v>
      </c>
    </row>
    <row r="88" customFormat="false" ht="68.25" hidden="false" customHeight="true" outlineLevel="0" collapsed="false">
      <c r="A88" s="20" t="s">
        <v>779</v>
      </c>
      <c r="B88" s="20" t="s">
        <v>379</v>
      </c>
      <c r="C88" s="20" t="s">
        <v>780</v>
      </c>
      <c r="D88" s="16" t="s">
        <v>781</v>
      </c>
      <c r="E88" s="20" t="s">
        <v>464</v>
      </c>
      <c r="F88" s="20" t="s">
        <v>453</v>
      </c>
      <c r="G88" s="16" t="s">
        <v>782</v>
      </c>
    </row>
    <row r="89" customFormat="false" ht="45.75" hidden="false" customHeight="true" outlineLevel="0" collapsed="false">
      <c r="A89" s="20" t="s">
        <v>783</v>
      </c>
      <c r="B89" s="20" t="s">
        <v>331</v>
      </c>
      <c r="C89" s="20" t="s">
        <v>784</v>
      </c>
      <c r="D89" s="16" t="s">
        <v>785</v>
      </c>
      <c r="E89" s="20" t="s">
        <v>461</v>
      </c>
      <c r="F89" s="20" t="s">
        <v>569</v>
      </c>
      <c r="G89" s="16" t="s">
        <v>786</v>
      </c>
    </row>
    <row r="90" customFormat="false" ht="79.5" hidden="false" customHeight="true" outlineLevel="0" collapsed="false">
      <c r="A90" s="20" t="s">
        <v>787</v>
      </c>
      <c r="B90" s="20" t="s">
        <v>279</v>
      </c>
      <c r="C90" s="20" t="s">
        <v>788</v>
      </c>
      <c r="D90" s="16" t="s">
        <v>789</v>
      </c>
      <c r="E90" s="20" t="s">
        <v>464</v>
      </c>
      <c r="F90" s="20" t="s">
        <v>453</v>
      </c>
      <c r="G90" s="16" t="s">
        <v>790</v>
      </c>
    </row>
    <row r="91" customFormat="false" ht="57" hidden="false" customHeight="true" outlineLevel="0" collapsed="false">
      <c r="A91" s="20" t="s">
        <v>791</v>
      </c>
      <c r="B91" s="20" t="s">
        <v>279</v>
      </c>
      <c r="C91" s="20" t="s">
        <v>788</v>
      </c>
      <c r="D91" s="16" t="s">
        <v>792</v>
      </c>
      <c r="E91" s="20" t="s">
        <v>464</v>
      </c>
      <c r="F91" s="20" t="s">
        <v>453</v>
      </c>
      <c r="G91" s="16" t="s">
        <v>793</v>
      </c>
    </row>
    <row r="92" customFormat="false" ht="102" hidden="false" customHeight="true" outlineLevel="0" collapsed="false">
      <c r="A92" s="20" t="s">
        <v>794</v>
      </c>
      <c r="B92" s="20" t="s">
        <v>291</v>
      </c>
      <c r="C92" s="20" t="s">
        <v>795</v>
      </c>
      <c r="D92" s="16" t="s">
        <v>796</v>
      </c>
      <c r="E92" s="20" t="s">
        <v>464</v>
      </c>
      <c r="F92" s="20" t="s">
        <v>453</v>
      </c>
      <c r="G92" s="16" t="s">
        <v>797</v>
      </c>
    </row>
    <row r="93" customFormat="false" ht="79.5" hidden="false" customHeight="true" outlineLevel="0" collapsed="false">
      <c r="A93" s="20" t="s">
        <v>798</v>
      </c>
      <c r="B93" s="20" t="s">
        <v>299</v>
      </c>
      <c r="C93" s="20" t="s">
        <v>799</v>
      </c>
      <c r="D93" s="16" t="s">
        <v>800</v>
      </c>
      <c r="E93" s="20" t="s">
        <v>464</v>
      </c>
      <c r="F93" s="20" t="s">
        <v>453</v>
      </c>
      <c r="G93" s="16" t="s">
        <v>801</v>
      </c>
    </row>
    <row r="94" customFormat="false" ht="157.5" hidden="false" customHeight="true" outlineLevel="0" collapsed="false">
      <c r="A94" s="20" t="s">
        <v>802</v>
      </c>
      <c r="B94" s="20" t="s">
        <v>291</v>
      </c>
      <c r="C94" s="20" t="s">
        <v>803</v>
      </c>
      <c r="D94" s="16" t="s">
        <v>804</v>
      </c>
      <c r="E94" s="20" t="s">
        <v>464</v>
      </c>
      <c r="F94" s="20" t="s">
        <v>453</v>
      </c>
      <c r="G94" s="16" t="s">
        <v>805</v>
      </c>
    </row>
    <row r="95" customFormat="false" ht="102" hidden="false" customHeight="true" outlineLevel="0" collapsed="false">
      <c r="A95" s="20" t="s">
        <v>806</v>
      </c>
      <c r="B95" s="20" t="s">
        <v>371</v>
      </c>
      <c r="C95" s="20" t="s">
        <v>807</v>
      </c>
      <c r="D95" s="16" t="s">
        <v>808</v>
      </c>
      <c r="E95" s="20" t="s">
        <v>464</v>
      </c>
      <c r="F95" s="20" t="s">
        <v>453</v>
      </c>
      <c r="G95" s="16" t="s">
        <v>809</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810</v>
      </c>
    </row>
    <row r="2" customFormat="false" ht="15" hidden="false" customHeight="true" outlineLevel="0" collapsed="false">
      <c r="A2" s="3" t="s">
        <v>811</v>
      </c>
    </row>
    <row r="4" customFormat="false" ht="15" hidden="false" customHeight="true" outlineLevel="0" collapsed="false">
      <c r="A4" s="4" t="s">
        <v>19</v>
      </c>
      <c r="B4" s="4" t="s">
        <v>812</v>
      </c>
      <c r="C4" s="4" t="s">
        <v>813</v>
      </c>
      <c r="D4" s="4" t="s">
        <v>814</v>
      </c>
      <c r="E4" s="4" t="s">
        <v>815</v>
      </c>
      <c r="F4" s="4" t="s">
        <v>22</v>
      </c>
    </row>
    <row r="5" customFormat="false" ht="61.5" hidden="false" customHeight="true" outlineLevel="0" collapsed="false">
      <c r="A5" s="6" t="s">
        <v>816</v>
      </c>
      <c r="B5" s="16" t="s">
        <v>817</v>
      </c>
      <c r="C5" s="16" t="s">
        <v>818</v>
      </c>
      <c r="D5" s="16" t="s">
        <v>819</v>
      </c>
      <c r="E5" s="6" t="s">
        <v>820</v>
      </c>
      <c r="F5" s="6" t="s">
        <v>569</v>
      </c>
    </row>
    <row r="6" customFormat="false" ht="61.5" hidden="false" customHeight="true" outlineLevel="0" collapsed="false">
      <c r="A6" s="6" t="s">
        <v>821</v>
      </c>
      <c r="B6" s="16" t="s">
        <v>822</v>
      </c>
      <c r="C6" s="16" t="s">
        <v>823</v>
      </c>
      <c r="D6" s="16" t="s">
        <v>824</v>
      </c>
      <c r="E6" s="6" t="s">
        <v>825</v>
      </c>
      <c r="F6" s="6" t="s">
        <v>826</v>
      </c>
    </row>
    <row r="7" customFormat="false" ht="61.5" hidden="false" customHeight="true" outlineLevel="0" collapsed="false">
      <c r="A7" s="6" t="s">
        <v>827</v>
      </c>
      <c r="B7" s="16" t="s">
        <v>828</v>
      </c>
      <c r="C7" s="16" t="s">
        <v>829</v>
      </c>
      <c r="D7" s="16" t="s">
        <v>830</v>
      </c>
      <c r="E7" s="6" t="s">
        <v>831</v>
      </c>
      <c r="F7" s="6" t="s">
        <v>508</v>
      </c>
    </row>
    <row r="8" customFormat="false" ht="61.5" hidden="false" customHeight="true" outlineLevel="0" collapsed="false">
      <c r="A8" s="6" t="s">
        <v>832</v>
      </c>
      <c r="B8" s="16" t="s">
        <v>833</v>
      </c>
      <c r="C8" s="16" t="s">
        <v>834</v>
      </c>
      <c r="D8" s="16" t="s">
        <v>835</v>
      </c>
      <c r="E8" s="6" t="s">
        <v>836</v>
      </c>
      <c r="F8" s="6" t="s">
        <v>508</v>
      </c>
    </row>
    <row r="9" customFormat="false" ht="61.5" hidden="false" customHeight="true" outlineLevel="0" collapsed="false">
      <c r="A9" s="6" t="s">
        <v>837</v>
      </c>
      <c r="B9" s="16" t="s">
        <v>838</v>
      </c>
      <c r="C9" s="16" t="s">
        <v>839</v>
      </c>
      <c r="D9" s="16" t="s">
        <v>840</v>
      </c>
      <c r="E9" s="6" t="s">
        <v>841</v>
      </c>
      <c r="F9" s="6" t="s">
        <v>569</v>
      </c>
    </row>
    <row r="10" customFormat="false" ht="61.5" hidden="false" customHeight="true" outlineLevel="0" collapsed="false">
      <c r="A10" s="6" t="s">
        <v>842</v>
      </c>
      <c r="B10" s="16" t="s">
        <v>838</v>
      </c>
      <c r="C10" s="16" t="s">
        <v>843</v>
      </c>
      <c r="D10" s="16" t="s">
        <v>844</v>
      </c>
      <c r="E10" s="6" t="s">
        <v>845</v>
      </c>
      <c r="F10" s="6" t="s">
        <v>569</v>
      </c>
    </row>
    <row r="11" customFormat="false" ht="61.5" hidden="false" customHeight="true" outlineLevel="0" collapsed="false">
      <c r="A11" s="6" t="s">
        <v>846</v>
      </c>
      <c r="B11" s="16" t="s">
        <v>847</v>
      </c>
      <c r="C11" s="16" t="s">
        <v>848</v>
      </c>
      <c r="D11" s="16" t="s">
        <v>849</v>
      </c>
      <c r="E11" s="6" t="s">
        <v>850</v>
      </c>
      <c r="F11" s="6" t="s">
        <v>826</v>
      </c>
    </row>
    <row r="12" customFormat="false" ht="61.5" hidden="false" customHeight="true" outlineLevel="0" collapsed="false">
      <c r="A12" s="6" t="s">
        <v>851</v>
      </c>
      <c r="B12" s="16" t="s">
        <v>852</v>
      </c>
      <c r="C12" s="16" t="s">
        <v>853</v>
      </c>
      <c r="D12" s="16" t="s">
        <v>854</v>
      </c>
      <c r="E12" s="6" t="s">
        <v>855</v>
      </c>
      <c r="F12" s="6" t="s">
        <v>569</v>
      </c>
    </row>
    <row r="13" customFormat="false" ht="34.5" hidden="false" customHeight="true" outlineLevel="0" collapsed="false">
      <c r="A13" s="20" t="s">
        <v>856</v>
      </c>
      <c r="B13" s="20" t="s">
        <v>847</v>
      </c>
      <c r="C13" s="16" t="s">
        <v>857</v>
      </c>
      <c r="D13" s="16" t="s">
        <v>858</v>
      </c>
      <c r="E13" s="20" t="s">
        <v>859</v>
      </c>
      <c r="F13" s="20" t="s">
        <v>569</v>
      </c>
    </row>
    <row r="14" customFormat="false" ht="23.25" hidden="false" customHeight="true" outlineLevel="0" collapsed="false">
      <c r="A14" s="20" t="s">
        <v>860</v>
      </c>
      <c r="B14" s="20" t="s">
        <v>852</v>
      </c>
      <c r="C14" s="16" t="s">
        <v>861</v>
      </c>
      <c r="D14" s="16" t="s">
        <v>862</v>
      </c>
      <c r="E14" s="20" t="s">
        <v>863</v>
      </c>
      <c r="F14" s="20" t="s">
        <v>569</v>
      </c>
    </row>
    <row r="15" customFormat="false" ht="23.25" hidden="false" customHeight="true" outlineLevel="0" collapsed="false">
      <c r="A15" s="20" t="s">
        <v>864</v>
      </c>
      <c r="B15" s="20" t="s">
        <v>865</v>
      </c>
      <c r="C15" s="16" t="s">
        <v>866</v>
      </c>
      <c r="D15" s="16" t="s">
        <v>867</v>
      </c>
      <c r="E15" s="20" t="s">
        <v>868</v>
      </c>
      <c r="F15" s="20" t="s">
        <v>569</v>
      </c>
    </row>
    <row r="16" customFormat="false" ht="34.5" hidden="false" customHeight="true" outlineLevel="0" collapsed="false">
      <c r="A16" s="20" t="s">
        <v>869</v>
      </c>
      <c r="B16" s="20" t="s">
        <v>817</v>
      </c>
      <c r="C16" s="16" t="s">
        <v>870</v>
      </c>
      <c r="D16" s="16" t="s">
        <v>871</v>
      </c>
      <c r="E16" s="20" t="s">
        <v>872</v>
      </c>
      <c r="F16" s="20" t="s">
        <v>569</v>
      </c>
    </row>
    <row r="17" customFormat="false" ht="34.5" hidden="false" customHeight="true" outlineLevel="0" collapsed="false">
      <c r="A17" s="20" t="s">
        <v>873</v>
      </c>
      <c r="B17" s="20" t="s">
        <v>838</v>
      </c>
      <c r="C17" s="16" t="s">
        <v>874</v>
      </c>
      <c r="D17" s="16" t="s">
        <v>875</v>
      </c>
      <c r="E17" s="20" t="s">
        <v>876</v>
      </c>
      <c r="F17" s="20" t="s">
        <v>569</v>
      </c>
    </row>
    <row r="18" customFormat="false" ht="23.25" hidden="false" customHeight="true" outlineLevel="0" collapsed="false">
      <c r="A18" s="20" t="s">
        <v>877</v>
      </c>
      <c r="B18" s="20" t="s">
        <v>847</v>
      </c>
      <c r="C18" s="16" t="s">
        <v>878</v>
      </c>
      <c r="D18" s="16" t="s">
        <v>879</v>
      </c>
      <c r="E18" s="20" t="s">
        <v>880</v>
      </c>
      <c r="F18" s="20" t="s">
        <v>569</v>
      </c>
    </row>
    <row r="19" customFormat="false" ht="34.5" hidden="false" customHeight="true" outlineLevel="0" collapsed="false">
      <c r="A19" s="20" t="s">
        <v>881</v>
      </c>
      <c r="B19" s="20" t="s">
        <v>882</v>
      </c>
      <c r="C19" s="16" t="s">
        <v>883</v>
      </c>
      <c r="D19" s="16" t="s">
        <v>884</v>
      </c>
      <c r="E19" s="20" t="s">
        <v>885</v>
      </c>
      <c r="F19" s="20" t="s">
        <v>569</v>
      </c>
    </row>
    <row r="20" customFormat="false" ht="34.5" hidden="false" customHeight="true" outlineLevel="0" collapsed="false">
      <c r="A20" s="20" t="s">
        <v>886</v>
      </c>
      <c r="B20" s="20" t="s">
        <v>887</v>
      </c>
      <c r="C20" s="16" t="s">
        <v>888</v>
      </c>
      <c r="D20" s="16" t="s">
        <v>889</v>
      </c>
      <c r="E20" s="20" t="s">
        <v>890</v>
      </c>
      <c r="F20" s="20" t="s">
        <v>826</v>
      </c>
    </row>
    <row r="21" customFormat="false" ht="45.75" hidden="false" customHeight="true" outlineLevel="0" collapsed="false">
      <c r="A21" s="20" t="s">
        <v>891</v>
      </c>
      <c r="B21" s="20" t="s">
        <v>892</v>
      </c>
      <c r="C21" s="16" t="s">
        <v>893</v>
      </c>
      <c r="D21" s="16" t="s">
        <v>894</v>
      </c>
      <c r="E21" s="20" t="s">
        <v>895</v>
      </c>
      <c r="F21" s="20" t="s">
        <v>508</v>
      </c>
    </row>
    <row r="22" customFormat="false" ht="45.75" hidden="false" customHeight="true" outlineLevel="0" collapsed="false">
      <c r="A22" s="20" t="s">
        <v>896</v>
      </c>
      <c r="B22" s="20" t="s">
        <v>897</v>
      </c>
      <c r="C22" s="16" t="s">
        <v>898</v>
      </c>
      <c r="D22" s="16" t="s">
        <v>899</v>
      </c>
      <c r="E22" s="20" t="s">
        <v>900</v>
      </c>
      <c r="F22" s="20" t="s">
        <v>569</v>
      </c>
    </row>
    <row r="23" customFormat="false" ht="57" hidden="false" customHeight="true" outlineLevel="0" collapsed="false">
      <c r="A23" s="20" t="s">
        <v>901</v>
      </c>
      <c r="B23" s="20" t="s">
        <v>902</v>
      </c>
      <c r="C23" s="16" t="s">
        <v>903</v>
      </c>
      <c r="D23" s="16" t="s">
        <v>904</v>
      </c>
      <c r="E23" s="20" t="s">
        <v>905</v>
      </c>
      <c r="F23" s="20" t="s">
        <v>569</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2026-08-30T19:06:37Z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