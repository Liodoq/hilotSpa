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Tasks" sheetId="2" state="visible" r:id="rId4"/>
    <sheet name="Bugs" sheetId="3" state="visible" r:id="rId5"/>
    <sheet name="Defense Risks" sheetId="4" state="visible" r:id="rId6"/>
  </sheets>
  <definedNames>
    <definedName function="false" hidden="true" localSheetId="2" name="_xlnm._FilterDatabase" vbProcedure="false">Bugs!$A$3:$G$36</definedName>
    <definedName function="false" hidden="true" localSheetId="1" name="_xlnm._FilterDatabase" vbProcedure="false">Tasks!$A$4:$G$44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<sst xmlns="http://schemas.openxmlformats.org/spreadsheetml/2006/main" count="1502" uniqueCount="906">
  <si>
    <t xml:space="preserve">HilotSpa — Progress Summary</t>
  </si>
  <si>
    <t xml:space="preserve">Live formulas over the Tasks and Bugs sheets. Values last recalculated 2026-08-28 (probes + health endpoint).</t>
  </si>
  <si>
    <t xml:space="preserve">Sprint</t>
  </si>
  <si>
    <t xml:space="preserve">Total</t>
  </si>
  <si>
    <t xml:space="preserve">Done</t>
  </si>
  <si>
    <t xml:space="preserve">In Progress</t>
  </si>
  <si>
    <t xml:space="preserve">Not Started</t>
  </si>
  <si>
    <t xml:space="preserve">Blocked</t>
  </si>
  <si>
    <t xml:space="preserve">% Complete</t>
  </si>
  <si>
    <t xml:space="preserve">Sprint 0</t>
  </si>
  <si>
    <t xml:space="preserve">Sprint 1</t>
  </si>
  <si>
    <t xml:space="preserve">Sprint 2</t>
  </si>
  <si>
    <t xml:space="preserve">Sprint 3</t>
  </si>
  <si>
    <t xml:space="preserve">Sprint 4</t>
  </si>
  <si>
    <t xml:space="preserve">TOTAL</t>
  </si>
  <si>
    <t xml:space="preserve">Open bugs</t>
  </si>
  <si>
    <t xml:space="preserve">Critical open</t>
  </si>
  <si>
    <t xml:space="preserve">HilotSpa — Task Tracker</t>
  </si>
  <si>
    <t xml:space="preserve">Statuses: Not Started / In Progress / Done / Blocked / N/A  (dropdown in column E)</t>
  </si>
  <si>
    <t xml:space="preserve">ID</t>
  </si>
  <si>
    <t xml:space="preserve">Task</t>
  </si>
  <si>
    <t xml:space="preserve">Detail</t>
  </si>
  <si>
    <t xml:space="preserve">Status</t>
  </si>
  <si>
    <t xml:space="preserve">Owner</t>
  </si>
  <si>
    <t xml:space="preserve">Notes</t>
  </si>
  <si>
    <t xml:space="preserve">0.1</t>
  </si>
  <si>
    <t xml:space="preserve">Fix trivial model bugs</t>
  </si>
  <si>
    <t xml:space="preserve">FormsRepository return types, User.demographics OneToOne, massage table typo, durationMinute, compose.yaml space</t>
  </si>
  <si>
    <t xml:space="preserve">Liodoq</t>
  </si>
  <si>
    <t xml:space="preserve">Reviewed and confirmed correct.</t>
  </si>
  <si>
    <t xml:space="preserve">0.2</t>
  </si>
  <si>
    <t xml:space="preserve">Invert Forms &lt;-&gt; PatientIntake to one-to-many</t>
  </si>
  <si>
    <t xml:space="preserve">A form must hold MANY pain points. Touches Forms, PatientIntake, FormsModel, both repositories, FormsServiceImpl, FormsTransformImpl.</t>
  </si>
  <si>
    <t xml:space="preserve">Closed. B6-B11 all fixed. Aggregate-root design: Forms is the only door into pain points.</t>
  </si>
  <si>
    <t xml:space="preserve">0.3</t>
  </si>
  <si>
    <t xml:space="preserve">Migrate all primary keys to UUID</t>
  </si>
  <si>
    <t xml:space="preserve">Highest-leverage item. Integer IDs collide across branch nodes and make P2P sync impossible.</t>
  </si>
  <si>
    <t xml:space="preserve">Claude</t>
  </si>
  <si>
    <t xml:space="preserve">All 36 files migrated. Domain Integers (painScore, coords, age, height, weight, durationMinute) intentionally left as Integer.</t>
  </si>
  <si>
    <t xml:space="preserve">0.4</t>
  </si>
  <si>
    <t xml:space="preserve">Add security fields to User</t>
  </si>
  <si>
    <t xml:space="preserve">passwordHash, enabled, branch FK, role as @Enumerated enum CUSTOMER/STAFF/ADMIN.</t>
  </si>
  <si>
    <t xml:space="preserve">passwordHash, enabled, branch FK, role as @Enumerated(EnumType.STRING) enum. Branch resolved in create + update.</t>
  </si>
  <si>
    <t xml:space="preserve">0.5</t>
  </si>
  <si>
    <t xml:space="preserve">Add the missing core entities</t>
  </si>
  <si>
    <t xml:space="preserve">Appointment, Therapist, Room, ServiceProtocol, Contraindication, AuditLog.</t>
  </si>
  <si>
    <t xml:space="preserve">ALL of 0.5 complete. 18 entities, 11 repositories. Therapist, Room, ServiceProtocol (+ProtocolRule), Appointment (+AppointmentStatus/PaymentStatus/BookingSource), AuditLog, ComplaintType. App boots clean against a live schema.</t>
  </si>
  <si>
    <t xml:space="preserve">0.6</t>
  </si>
  <si>
    <t xml:space="preserve">Spring Security + JWT + RBAC</t>
  </si>
  <si>
    <t xml:space="preserve">Satisfies FR#4 and Process Rules #1 and #5. Staff restricted to their own Branch ID at query level.</t>
  </si>
  <si>
    <t xml:space="preserve">Liodoq+Claude</t>
  </si>
  <si>
    <t xml:space="preserve">Auth, RBAC endpoint rules, and query-level branch scoping all shipped (0.6a-0.6c-2). B29/B30 closed.</t>
  </si>
  <si>
    <t xml:space="preserve">0.7</t>
  </si>
  <si>
    <t xml:space="preserve">Infra: Flyway, Redis, secrets</t>
  </si>
  <si>
    <t xml:space="preserve">Flyway so every node shares an identical schema. Redis into pom.xml + compose.yaml.</t>
  </si>
  <si>
    <t xml:space="preserve">Closed 2026-08-30. Flyway owns the schema; Hibernate switched to ddl-auto=validate and PASSED against the live database on the first try, which also proves the V1 baseline dump is accurate. V1 is a pg_dump of the schema as ddl-auto left it (three lines stripped: \restrict / \unrestrict psql meta-commands that pg_dump 15.18 emits and JDBC cannot parse, and the search_path reset that would have broken Flyway's own INSERT into flyway_schema_history). Both settings are env-driven - FLYWAY_ENABLED / DDL_AUTO - so the rollback is deleting two lines from .env, no rebuild. THE TRAP: on Spring Boot 4, flyway-core alone is NOT enough. Boot 4 split auto-configuration into one module per technology, so FlywayAutoConfiguration ships with spring-boot-starter-flyway. With only flyway-core the library is present, the auto-configuration is not, and every spring.flyway.* property is an inert string - no error, no warning, no log line, the app starts perfectly and never migrates. Cost about 40 minutes of chasing a stale Docker image that was not stale.</t>
  </si>
  <si>
    <t xml:space="preserve">0.8</t>
  </si>
  <si>
    <t xml:space="preserve">Scaffold the Angular project</t>
  </si>
  <si>
    <t xml:space="preserve">Fresh Angular app + Tailwind, wired to the backend.</t>
  </si>
  <si>
    <t xml:space="preserve">Angular 21.2 + Tailwind 4, committed 2169414 / d82f8ae.</t>
  </si>
  <si>
    <t xml:space="preserve">1.1</t>
  </si>
  <si>
    <t xml:space="preserve">2D body map component (front + back SVG)</t>
  </si>
  <si>
    <t xml:space="preserve">Angular canvas/SVG. Paper Scope: '2D Visualization of front and back body parts'.</t>
  </si>
  <si>
    <t xml:space="preserve">shared/body-map — front and back SVG, percentage coordinates.</t>
  </si>
  <si>
    <t xml:space="preserve">1.2</t>
  </si>
  <si>
    <t xml:space="preserve">Tap-to-place pain markers with severity</t>
  </si>
  <si>
    <t xml:space="preserve">Marker stores bodyView, anatomicalRegion, x, y, painScore 1-10.</t>
  </si>
  <si>
    <t xml:space="preserve">Tap to place, drag-free severity 1-10, remove, region auto-guess with an editable dropdown.</t>
  </si>
  <si>
    <t xml:space="preserve">1.3</t>
  </si>
  <si>
    <t xml:space="preserve">25-item complaint checklist</t>
  </si>
  <si>
    <t xml:space="preserve">Neck Pain ... TMJ Disorder + Others. Exact list from paper Scope + Appendix A.</t>
  </si>
  <si>
    <t xml:space="preserve">All 24 conditions + Others, verbatim from Appendix A, with live filtering.</t>
  </si>
  <si>
    <t xml:space="preserve">1.4</t>
  </si>
  <si>
    <t xml:space="preserve">Pain vs Leisure fork on first screen</t>
  </si>
  <si>
    <t xml:space="preserve">Leisure path completes an assessment in one tap. Resolves the Process Rule #2 contradiction.</t>
  </si>
  <si>
    <t xml:space="preserve">C2 built. intent is recorded on Forms (H6), so the leisure path is a real, distinguishable record.</t>
  </si>
  <si>
    <t xml:space="preserve">1.5</t>
  </si>
  <si>
    <t xml:space="preserve">Age-inclusive styling</t>
  </si>
  <si>
    <t xml:space="preserve">High contrast, &gt;=18px base font, &gt;=44px touch targets, warm palette, simplified navigation.</t>
  </si>
  <si>
    <t xml:space="preserve">13 tokens, 68px targets, 6.88:1 brand contrast, prefers-reduced-motion. Evidence in paper-deltas SS I.</t>
  </si>
  <si>
    <t xml:space="preserve">1.6</t>
  </si>
  <si>
    <t xml:space="preserve">Demographics capture screen</t>
  </si>
  <si>
    <t xml:space="preserve">Age, sex, status, height, weight, birthdate. Mirrors the paper intake form.</t>
  </si>
  <si>
    <t xml:space="preserve">C3 built. NOTE: a CUSTOMER cannot save it yet - see B43.</t>
  </si>
  <si>
    <t xml:space="preserve">1.7</t>
  </si>
  <si>
    <t xml:space="preserve">Submit form + pain points to backend</t>
  </si>
  <si>
    <t xml:space="preserve">Single POST carrying form and its painPoints array.</t>
  </si>
  <si>
    <t xml:space="preserve">Proven 2026-08-25 - a real assessment reached Postgres and came back out through the assistant (see 1.16).</t>
  </si>
  <si>
    <t xml:space="preserve">2.1</t>
  </si>
  <si>
    <t xml:space="preserve">Redis temporary resource locking</t>
  </si>
  <si>
    <t xml:space="preserve">Lock therapist + room + slot with a TTL while booking is in progress.</t>
  </si>
  <si>
    <t xml:space="preserve">Process Rule #4.</t>
  </si>
  <si>
    <t xml:space="preserve">2.2</t>
  </si>
  <si>
    <t xml:space="preserve">n8n workflow scaffolding</t>
  </si>
  <si>
    <t xml:space="preserve">Assemble prompt -&gt; call Gemini -&gt; validate response -&gt; write booking.</t>
  </si>
  <si>
    <t xml:space="preserve">Two published workflows in n8n/, version-controlled as files: hilotspa-recommend and hilotspa-chat.</t>
  </si>
  <si>
    <t xml:space="preserve">2.3</t>
  </si>
  <si>
    <t xml:space="preserve">Gemini call with constrained structured output</t>
  </si>
  <si>
    <t xml:space="preserve">recommendedServiceId is an enum of real catalog UUIDs so the model cannot invent a service.</t>
  </si>
  <si>
    <t xml:space="preserve">The model never names a service; it ranks ids Spring sent. n8n drops any id it did not receive, then Java re-validates. Two independent checks, and rejectedCount makes the discard rate countable.</t>
  </si>
  <si>
    <t xml:space="preserve">2.4</t>
  </si>
  <si>
    <t xml:space="preserve">Contraindication filter applied BEFORE the AI call</t>
  </si>
  <si>
    <t xml:space="preserve">Deterministic table authored by the spa. AI only ever sees an already-safe list.</t>
  </si>
  <si>
    <t xml:space="preserve">MECHANISM DONE and verified: allowedServicesFor() filters ServiceProtocol before the n8n call, and the excluded count is shown to the client. THE RULES THEMSELVES DO NOT EXIST YET - 0 CONTRAINDICATED rows, so it currently excludes nothing. See 4.13 and R18.</t>
  </si>
  <si>
    <t xml:space="preserve">2.5</t>
  </si>
  <si>
    <t xml:space="preserve">Chat UI</t>
  </si>
  <si>
    <t xml:space="preserve">Task-first, short structured replies, not chatty. Supported by [10].</t>
  </si>
  <si>
    <t xml:space="preserve">Real relay as of 2026-08-25. Replies come from Vertex through Spring, quoting price and duration read from Postgres.</t>
  </si>
  <si>
    <t xml:space="preserve">2.6</t>
  </si>
  <si>
    <t xml:space="preserve">Virtual voice + subtitles</t>
  </si>
  <si>
    <t xml:space="preserve">Web Speech API: SpeechSynthesis out, SpeechRecognition in.</t>
  </si>
  <si>
    <t xml:space="preserve">Built 2026-08-30. core/speech.service.ts (382 lines): SpeechSynthesis out (sentence chunking, boundary-event captions, rate 0.95 for NFR#4, voice picked per language, Chrome keep-alive) + SpeechRecognition in (interim results shown live, plain-language error mapping, recognised sentence goes into the SAME draft box and through send(), so voice adds no new server path). Caption band tracks the voice word by word; Voice on/off, Say it again and English/Filipino controls; both halves feature-detected so Safari and Android fall back to typing instead of a dead button. ngc clean, template type-check verified live, no DI cycles.</t>
  </si>
  <si>
    <t xml:space="preserve">2.7</t>
  </si>
  <si>
    <t xml:space="preserve">Conversational booking creates an Appointment</t>
  </si>
  <si>
    <t xml:space="preserve">Negotiate slot against branch resources, then confirm and persist.</t>
  </si>
  <si>
    <t xml:space="preserve">VERIFIED LIVE 2026-08-25: reference 6A6E5CD8, Signature Massage 90 min, Thu 27 Aug 10:00, Lito Fernandez, Treatment Room 1, source CHATBOT.</t>
  </si>
  <si>
    <t xml:space="preserve">2.8</t>
  </si>
  <si>
    <t xml:space="preserve">Taglish / code-switch handling</t>
  </si>
  <si>
    <t xml:space="preserve">System prompt instructs code-switched Filipino-English. Demo this at defense.</t>
  </si>
  <si>
    <t xml:space="preserve">Closed 2026-08-30. Prompt rule: mirror the client - Taglish for Taglish, Filipino for Filipino, po/opo kept. Service names and slot labels explicitly never translated, because a translated time is a misquoted time. Cited reference [35] is now a built feature, not just a citation.</t>
  </si>
  <si>
    <t xml:space="preserve">3.1</t>
  </si>
  <si>
    <t xml:space="preserve">Append-only sync_log table</t>
  </si>
  <si>
    <t xml:space="preserve">nodeId + monotonic sequenceNo per node. Peers pull everything after seq N.</t>
  </si>
  <si>
    <t xml:space="preserve">Requires UUID keys (0.3).</t>
  </si>
  <si>
    <t xml:space="preserve">3.2</t>
  </si>
  <si>
    <t xml:space="preserve">Node registry</t>
  </si>
  <si>
    <t xml:space="preserve">Each node knows its peers' addresses and last-seen sequence numbers.</t>
  </si>
  <si>
    <t xml:space="preserve">3.3</t>
  </si>
  <si>
    <t xml:space="preserve">Pull-based gossip between peers</t>
  </si>
  <si>
    <t xml:space="preserve">Broadcast local changes, pull remote changes, apply to read-only replicas.</t>
  </si>
  <si>
    <t xml:space="preserve">FR#3</t>
  </si>
  <si>
    <t xml:space="preserve">3.4</t>
  </si>
  <si>
    <t xml:space="preserve">Enforce single-writer-per-partition</t>
  </si>
  <si>
    <t xml:space="preserve">A node may only write resources it owns. Makes split-brain structurally impossible.</t>
  </si>
  <si>
    <t xml:space="preserve">See Defense Risks R1. THE core architectural argument.</t>
  </si>
  <si>
    <t xml:space="preserve">3.5</t>
  </si>
  <si>
    <t xml:space="preserve">Admin aggregated dashboard</t>
  </si>
  <si>
    <t xml:space="preserve">Global view across all branch nodes.</t>
  </si>
  <si>
    <t xml:space="preserve">A1 now counts live: bookings today/this week, assessments, therapists available, rooms, and assistant reliability read out of audit_log. Reports ONE node and says on screen that the registry is Sprint 3 - a second node drawn as offline would be a picture of a feature.</t>
  </si>
  <si>
    <t xml:space="preserve">3.6</t>
  </si>
  <si>
    <t xml:space="preserve">Context switch into a specific branch</t>
  </si>
  <si>
    <t xml:space="preserve">Admin loads a branch's local dashboard.</t>
  </si>
  <si>
    <t xml:space="preserve">A2 built (context switching UI). Opening a branch reuses S1.</t>
  </si>
  <si>
    <t xml:space="preserve">3.7</t>
  </si>
  <si>
    <t xml:space="preserve">Offline mode + visible status banner</t>
  </si>
  <si>
    <t xml:space="preserve">Branch keeps booking its own resources with no internet. Syncs on reconnect.</t>
  </si>
  <si>
    <t xml:space="preserve">Built 2026-08-30. core/connectivity.ts tracks TWO states, not one: `offline` from the browser's own events, and `unreachable` set only after a request returned status 0 - no HTTP response at all, as opposed to a 500 which means the server is alive and struggling. The distinction is the architecture in one banner: at the branch, staff reach their node over the LAN, so an INTERNET outage does not touch them - only their node going down does. Wired through the HTTP interceptor, which is the only place that sees every request and its outcome. Real banner in AppNav (customer) and DashShell (staff/admin), ABOVE the existing simulated-offline banner so the two can never be confused. Wording promises nothing about queueing, because there is no service worker and no local write queue - it says only what is true: a booking already made is on the server and unaffected.</t>
  </si>
  <si>
    <t xml:space="preserve">3.8</t>
  </si>
  <si>
    <t xml:space="preserve">Global configuration broadcast</t>
  </si>
  <si>
    <t xml:space="preserve">Admin edits service menu / pricing, broadcast to all nodes.</t>
  </si>
  <si>
    <t xml:space="preserve">A4 reads and writes real service_protocol rows and logs PROTOCOL_EDITED. No broadcast mechanism yet - there is only one node to broadcast to.</t>
  </si>
  <si>
    <t xml:space="preserve">3.9</t>
  </si>
  <si>
    <t xml:space="preserve">Audit log generation</t>
  </si>
  <si>
    <t xml:space="preserve">Per-node audit trail, aggregated for the admin.</t>
  </si>
  <si>
    <t xml:space="preserve">AuditLog is written by the booking, assistant, resource, protocol and outcome paths, and A5 reads it. Cross-node aggregation is 3.3.</t>
  </si>
  <si>
    <t xml:space="preserve">3.10</t>
  </si>
  <si>
    <t xml:space="preserve">Stand up a SECOND node for the demo</t>
  </si>
  <si>
    <t xml:space="preserve">Second laptop or VM on the same LAN. You cannot demo decentralization with one node.</t>
  </si>
  <si>
    <t xml:space="preserve">Research locale names only one branch. See Defense Risks R5.</t>
  </si>
  <si>
    <t xml:space="preserve">4.1</t>
  </si>
  <si>
    <t xml:space="preserve">Pre-implementation baseline timing</t>
  </si>
  <si>
    <t xml:space="preserve">Stopwatch ~20 real clients on the manual workflow BEFORE deployment.</t>
  </si>
  <si>
    <t xml:space="preserve">Paper claims 10-15 min manual intake. Prove it.</t>
  </si>
  <si>
    <t xml:space="preserve">4.2</t>
  </si>
  <si>
    <t xml:space="preserve">TAM instrument (validated item set)</t>
  </si>
  <si>
    <t xml:space="preserve">Perceived Ease of Use + Perceived Usefulness, 5-point Likert. Use Davis/Venkatesh items and cite.</t>
  </si>
  <si>
    <t xml:space="preserve">4.3</t>
  </si>
  <si>
    <t xml:space="preserve">CUQ instrument (real 16 items)</t>
  </si>
  <si>
    <t xml:space="preserve">Holmes et al. 16 alternating positive/negative items with the official 0-100 scoring formula.</t>
  </si>
  <si>
    <t xml:space="preserve">Do not invent your own questions.</t>
  </si>
  <si>
    <t xml:space="preserve">4.4</t>
  </si>
  <si>
    <t xml:space="preserve">Technical &amp; Operational Checklist</t>
  </si>
  <si>
    <t xml:space="preserve">AI-vs-therapist agreement rate, 0 out-of-catalog outputs, sync latency, offline recovery time.</t>
  </si>
  <si>
    <t xml:space="preserve">This is how you measure 'AI reliability'. See Defense Risks R6.</t>
  </si>
  <si>
    <t xml:space="preserve">4.5</t>
  </si>
  <si>
    <t xml:space="preserve">Run UAT with customers, staff, admin</t>
  </si>
  <si>
    <t xml:space="preserve">Non-probability sampling across the three role groups.</t>
  </si>
  <si>
    <t xml:space="preserve">4.6</t>
  </si>
  <si>
    <t xml:space="preserve">Weighted mean + frequency analysis</t>
  </si>
  <si>
    <t xml:space="preserve">Apply the paper's Likert interpretation guide.</t>
  </si>
  <si>
    <t xml:space="preserve">4.7</t>
  </si>
  <si>
    <t xml:space="preserve">Write Chapter IV</t>
  </si>
  <si>
    <t xml:space="preserve">Before/after tables, TAM/CUQ results, checklist results.</t>
  </si>
  <si>
    <t xml:space="preserve">0.9</t>
  </si>
  <si>
    <t xml:space="preserve">Seven schema corrections from Appendix A</t>
  </si>
  <si>
    <t xml:space="preserve">H1-H6 plus H8: intent, AnatomicalRegion, BodyView, occupation, medicalHistory/therapyDetail, painScoreBefore/After, and side (L/R).</t>
  </si>
  <si>
    <t xml:space="preserve">Superseded by 0.11 - all seven (H1-H6 plus H8) shipped and verified against a fresh volume. Kept for the audit trail.</t>
  </si>
  <si>
    <t xml:space="preserve">1.8</t>
  </si>
  <si>
    <t xml:space="preserve">Design tokens + interaction layer</t>
  </si>
  <si>
    <t xml:space="preserve">tailwind.css @theme static, styles.scss vocabulary, interactions.scss (hover, focus rings, reduced motion).</t>
  </si>
  <si>
    <t xml:space="preserve">Same token names as the Figma HilotSpa collection, so design and code cannot drift.</t>
  </si>
  <si>
    <t xml:space="preserve">1.9</t>
  </si>
  <si>
    <t xml:space="preserve">Auth screens P1 + P2 wired to the API</t>
  </si>
  <si>
    <t xml:space="preserve">Login, register, JWT interceptor, auth guard, role-aware landing.</t>
  </si>
  <si>
    <t xml:space="preserve">Errors deliberately vague on login so emails cannot be enumerated.</t>
  </si>
  <si>
    <t xml:space="preserve">1.10</t>
  </si>
  <si>
    <t xml:space="preserve">Assessment wizard shell + single-write store</t>
  </si>
  <si>
    <t xml:space="preserve">Shell (topbar/progress/footer), AssessmentStore holding one draft across C2-C7.</t>
  </si>
  <si>
    <t xml:space="preserve">Forms is an aggregate root, so the UI posts once. Six components each calling the API would contradict the schema.</t>
  </si>
  <si>
    <t xml:space="preserve">1.11</t>
  </si>
  <si>
    <t xml:space="preserve">Prove one assessment round-trips into Postgres</t>
  </si>
  <si>
    <t xml:space="preserve">Submit from C7, confirm the forms row and its patient_intake children exist.</t>
  </si>
  <si>
    <t xml:space="preserve">Superseded by 1.16 - proven 2026-08-25. Kept for the audit trail. Still to do: run verify.sql and screenshot it for Ch.IV.</t>
  </si>
  <si>
    <t xml:space="preserve">2.9</t>
  </si>
  <si>
    <t xml:space="preserve">C8 Services screen with visible contraindication filtering</t>
  </si>
  <si>
    <t xml:space="preserve">Excluded services shown greyed with the reason and the practitioner named.</t>
  </si>
  <si>
    <t xml:space="preserve">Wired to GET /assistant/catalogue 2026-08-26. Excluded rows render greyed with the stored rule and reason. Shows nothing excluded until 4.13 lands, which is honest.</t>
  </si>
  <si>
    <t xml:space="preserve">3.11</t>
  </si>
  <si>
    <t xml:space="preserve">Staff screens S1-S5</t>
  </si>
  <si>
    <t xml:space="preserve">Dashboard, queue, therapist/room status, pre-assessment report, walk-in.</t>
  </si>
  <si>
    <t xml:space="preserve">S1, S3, S4 and S5 are real as of 2026-08-26. Only S2 (the waiting queue) is not built - it needs a walk_in table holding arrival time and waiting order, which an appointment row cannot stand in for.</t>
  </si>
  <si>
    <t xml:space="preserve">3.12</t>
  </si>
  <si>
    <t xml:space="preserve">Admin screens A1-A5</t>
  </si>
  <si>
    <t xml:space="preserve">Node overview, context switch, accounts, configuration, audit log.</t>
  </si>
  <si>
    <t xml:space="preserve">All five off demo.ts as of 2026-08-26. demo.ts itself has been deleted.</t>
  </si>
  <si>
    <t xml:space="preserve">4.8</t>
  </si>
  <si>
    <t xml:space="preserve">Treatment-history review at the spa</t>
  </si>
  <si>
    <t xml:space="preserve">De-identified complaint -&gt; service for a defined window. Feeds ServiceProtocol and the agreement-rate metric.</t>
  </si>
  <si>
    <t xml:space="preserve">DONE 2026-08-26 - 137 archived records reviewed at the spa. 18 distinct complaints observed; 6 of the 24 Appendix A conditions never appear. Protocol Draft now pre-filled with the historical service per complaint and its count, so the practitioner reviews rather than authors.</t>
  </si>
  <si>
    <t xml:space="preserve">4.9</t>
  </si>
  <si>
    <t xml:space="preserve">Get the ServiceProtocol table signed</t>
  </si>
  <si>
    <t xml:space="preserve">Reviewed and signed by Gary O. Trinidad, the bone setter named on the intake form.</t>
  </si>
  <si>
    <t xml:space="preserve">This is what makes "we do not give medical advice" true rather than asserted.</t>
  </si>
  <si>
    <t xml:space="preserve">4.10</t>
  </si>
  <si>
    <t xml:space="preserve">Adviser sign-off on the methodology change (SS A1)</t>
  </si>
  <si>
    <t xml:space="preserve">The retrospective records review is not in the frozen Chapter 3.</t>
  </si>
  <si>
    <t xml:space="preserve">Has a human response time you do not control. Send it before collecting anything.</t>
  </si>
  <si>
    <t xml:space="preserve">4.11</t>
  </si>
  <si>
    <t xml:space="preserve">Resolve the locale name and the disclosure (SS A3, A4)</t>
  </si>
  <si>
    <t xml:space="preserve">Knead Wellness Spa vs Hilotin Spa and Wellness Center; researcher/owner surname relationship; letter dated July 20.</t>
  </si>
  <si>
    <t xml:space="preserve">Three sentences of paper text, one adviser decision, one corrected date.</t>
  </si>
  <si>
    <t xml:space="preserve">0.10</t>
  </si>
  <si>
    <t xml:space="preserve">UI/UX revision pass from the review document</t>
  </si>
  <si>
    <t xml:space="preserve">22 items with screenshots in UIUX Documentation and Revisions.docx. Bugs, flow changes and polish across 7 screens.</t>
  </si>
  <si>
    <t xml:space="preserve">Efficient format - one document, one pass. Worth repeating.</t>
  </si>
  <si>
    <t xml:space="preserve">1.12</t>
  </si>
  <si>
    <t xml:space="preserve">Move demographics from the wizard to the profile</t>
  </si>
  <si>
    <t xml:space="preserve">ProfileStore + /profile + profileGuard. The wizard is 5 steps, not 6; a returning client is never asked again.</t>
  </si>
  <si>
    <t xml:space="preserve">They belong to the person, not the visit. Also makes B43 far less urgent.</t>
  </si>
  <si>
    <t xml:space="preserve">1.13</t>
  </si>
  <si>
    <t xml:space="preserve">Rebuild the body map on fixed anatomical hotspots</t>
  </si>
  <si>
    <t xml:space="preserve">30 positions (14 front, 16 back) covering all 11 regions. Hover preview, no marks in empty space, one open spot at a time.</t>
  </si>
  <si>
    <t xml:space="preserve">Fixes markers landing off the body AND the blank region names. Makes coordinates aggregatable across clients, which A1 depends on.</t>
  </si>
  <si>
    <t xml:space="preserve">1.14</t>
  </si>
  <si>
    <t xml:space="preserve">Read-only session report</t>
  </si>
  <si>
    <t xml:space="preserve">/report/:id - date, service, BEFORE/AFTER pain with the drop, body map, practitioner notes.</t>
  </si>
  <si>
    <t xml:space="preserve">"View report" used to open the live wizard, so a finished session could be rewritten from the home page.</t>
  </si>
  <si>
    <t xml:space="preserve">2.10</t>
  </si>
  <si>
    <t xml:space="preserve">Service detail pages + booking flow</t>
  </si>
  <si>
    <t xml:space="preserve">/services/:id with a photo, what it helps, what it is not advised with. Choose starts the pre-assessment, then the assistant.</t>
  </si>
  <si>
    <t xml:space="preserve">UI only. NOTE: a 23rd screen - outside the paper 22-page inventory. See Risk R14.</t>
  </si>
  <si>
    <t xml:space="preserve">0.11</t>
  </si>
  <si>
    <t xml:space="preserve">Track A - the six Appendix A schema changes (SS H1-H6, H8)</t>
  </si>
  <si>
    <t xml:space="preserve">AnatomicalRegion/BodyView/Side enums, painScoreBefore+painScoreAfter, Demographics.occupation, medicalHistory, therapyDetail, hasTherapy as Boolean.</t>
  </si>
  <si>
    <t xml:space="preserve">painScoreBefore/After is a free quantitative outcome measure for Ch.IV. Boots clean against a fresh volume.</t>
  </si>
  <si>
    <t xml:space="preserve">0.12</t>
  </si>
  <si>
    <t xml:space="preserve">Repository sweep after the field renames</t>
  </si>
  <si>
    <t xml:space="preserve">Deleted two stale derived-query methods on PatientIntakeRepository; audited all 12 repositories and every @Query string.</t>
  </si>
  <si>
    <t xml:space="preserve">Caused a boot crash loop. Grepping accessors is NOT enough after a rename - Spring derives queries from method names.</t>
  </si>
  <si>
    <t xml:space="preserve">0.13</t>
  </si>
  <si>
    <t xml:space="preserve">Pin the n8n image version</t>
  </si>
  <si>
    <t xml:space="preserve">compose.yaml runs docker.n8n.io/n8nio/n8n:latest. Run 'docker compose exec n8n n8n --version' and write that tag in.</t>
  </si>
  <si>
    <t xml:space="preserve">A thesis artefact should not float. A breaking n8n release in October would break the defence demo silently.</t>
  </si>
  <si>
    <t xml:space="preserve">2.11</t>
  </si>
  <si>
    <t xml:space="preserve">n8n added to the compose project</t>
  </si>
  <si>
    <t xml:space="preserve">Shares the network with the backend, so Spring reaches it at http://n8n:5678. N8N_ENCRYPTION_KEY generated on-device and pinned in .env.</t>
  </si>
  <si>
    <t xml:space="preserve">Kills the host.docker.internal problem. Pinning the key means saved credentials survive 'compose down -v'.</t>
  </si>
  <si>
    <t xml:space="preserve">2.12</t>
  </si>
  <si>
    <t xml:space="preserve">Recommend workflow - webhook, prompt build, validation, fallback</t>
  </si>
  <si>
    <t xml:space="preserve">n8n/hilotspa-recommend.workflow.json. Validate node drops any serviceId Spring did not send; zero survivors means the protocol table answers.</t>
  </si>
  <si>
    <t xml:space="preserve">VERIFIED LIVE 2026-08-22 against Vertex: 5 services in, 3 ranked out, 2 dropped, no hallucinated ids, no diagnosis in the wording.</t>
  </si>
  <si>
    <t xml:space="preserve">2.13</t>
  </si>
  <si>
    <t xml:space="preserve">Assistant chat workflow - AI Agent, no tools</t>
  </si>
  <si>
    <t xml:space="preserve">n8n/hilotspa-chat.workflow.json. Webhook trigger (not chat trigger) so Spring stays the only door; memory keyed on sessionKey.</t>
  </si>
  <si>
    <t xml:space="preserve">Imported and published; blocked behind the same Vertex credential as 2.14.</t>
  </si>
  <si>
    <t xml:space="preserve">2.14</t>
  </si>
  <si>
    <t xml:space="preserve">Wire Vertex AI credentials end to end</t>
  </si>
  <si>
    <t xml:space="preserve">Google Service Account credential + project id in the node URL and in the chat model. Currently returning 401 UNAUTHENTICATED.</t>
  </si>
  <si>
    <t xml:space="preserve">Closed 2026-08-22. Recommend workflow returns status OK, modelUsed gemini-2.5-flash, rejectedCount 0, model-written reasons that reflect the assessment (reranked the list and cited the LIGHT pressure preference).</t>
  </si>
  <si>
    <t xml:space="preserve">2.15</t>
  </si>
  <si>
    <t xml:space="preserve">Adversarial prompt tests for the appendix</t>
  </si>
  <si>
    <t xml:space="preserve">Five messages the assistant must refuse: diagnose, discount below list price, offer a service not on the list, claim a booking, respond to chest pain.</t>
  </si>
  <si>
    <t xml:space="preserve">DONE 2026-08-28 - 5 of 5 pass. P1 refuses to diagnose, P2 refuses a discount, P3 refuses a service not on the menu, P4 refuses another client's booking without revealing whether she exists, P5 sends chest pain to a physician and books nothing. Run through the API so the reply text and status are captured verbatim. THE SUITE FOUND TWO DEFECTS IT WAS NOT LOOKING FOR (B87, B88) - which is a better appendix than five clean passes. Also learned: the first call after an idle period can exceed the 5s n8n timeout and return FALLBACK, so warm the path before any demonstration.</t>
  </si>
  <si>
    <t xml:space="preserve">2.16</t>
  </si>
  <si>
    <t xml:space="preserve">Java side - AssistantService and the allowedServices filter</t>
  </si>
  <si>
    <t xml:space="preserve">Read ServiceProtocol, drop CONTRAINDICATED for this client, POST to n8n, persist the ranked result and rejectedCount.</t>
  </si>
  <si>
    <t xml:space="preserve">VERIFIED LIVE 2026-08-25: submitting an assessment lands on /book?formId= and returns real services from Postgres, ranked by Vertex with model-written reasons. POST /assistant/recommend/{formId} + GET /assistant/catalogue. Java re-validates every id AFTER n8n has - the second check defends against a misconfigured n8n and is the one a panel can read in the code.</t>
  </si>
  <si>
    <t xml:space="preserve">2.17</t>
  </si>
  <si>
    <t xml:space="preserve">Header Auth on both n8n webhooks</t>
  </si>
  <si>
    <t xml:space="preserve">Both webhooks are unauthenticated. Acceptable on a dev laptop, not at the spa.</t>
  </si>
  <si>
    <t xml:space="preserve">SPRING SIDE DONE 2026-08-28: every call carries X-HilotSpa-Key, and the app logs a WARN at every startup while the secret is unset rather than failing quietly open. STILL OUTSTANDING: generate the secret, put it in .env, create the n8n Header Auth credential and point both Webhook nodes at it - written up as Step 15 in n8n/SETUP.md with the curl that proves the door is shut (403 = correct). The health endpoint reports Webhook authentication as DEGRADED until this is done.</t>
  </si>
  <si>
    <t xml:space="preserve">2.18</t>
  </si>
  <si>
    <t xml:space="preserve">GET /appointments/availability</t>
  </si>
  <si>
    <t xml:space="preserve">Branch-scoped open slots for the next 7 days: therapist AND room free for the full duration. Returns distinct start times with a Java-rendered label.</t>
  </si>
  <si>
    <t xml:space="preserve">VERIFIED LIVE 2026-08-25 through the assistant. Also now feeds the tappable time chips on C9.</t>
  </si>
  <si>
    <t xml:space="preserve">2.19</t>
  </si>
  <si>
    <t xml:space="preserve">POST /appointments - transactional write</t>
  </si>
  <si>
    <t xml:space="preserve">Re-checks availability inside the transaction, assigns therapist+room, writes source=CHATBOT and the AuditLog row. 409 with fresh slots on conflict.</t>
  </si>
  <si>
    <t xml:space="preserve">VERIFIED LIVE 2026-08-25 - booking 6A6E5CD8 written with source=CHATBOT and an audit row carrying the consenting words. Idempotency and the 409 path are still unscreenshotted (2.28).</t>
  </si>
  <si>
    <t xml:space="preserve">2.20</t>
  </si>
  <si>
    <t xml:space="preserve">Assistant proposes a slot; client confirms</t>
  </si>
  <si>
    <t xml:space="preserve">availableSlots + now + timezone added to the chat payload; agent returns {reply, proposal, alternatives} by slotId; Shape reply drops unknown ids AND the text that referenced them.</t>
  </si>
  <si>
    <t xml:space="preserve">Chat payload carries availableSlots + now + timezone. Prompt rules rewritten twice - agreement wording (rule 9) and time formatting (rules 15-17) added 2026-08-26.</t>
  </si>
  <si>
    <t xml:space="preserve">2.21</t>
  </si>
  <si>
    <t xml:space="preserve">Confirm button + 409 handling in /book</t>
  </si>
  <si>
    <t xml:space="preserve">Renders service, time, duration and price from Spring's values, not the model's text. On 409 shows 'that time was just taken' with the fresh slots.</t>
  </si>
  <si>
    <t xml:space="preserve">Confirmation renders from SPRING's response, never the model's sentence. Superseded in part by 2.30: there IS a confirm affordance now, and it does not go through the model at all.</t>
  </si>
  <si>
    <t xml:space="preserve">0.14</t>
  </si>
  <si>
    <t xml:space="preserve">Customer self-service demographics (B43 + B65/B66/B67)</t>
  </si>
  <si>
    <t xml:space="preserve">POST/GET /demographics/me with identity from the JWT; ProfileStore moved off localStorage onto the server with the cache kept for the sync guards and NFR#1.</t>
  </si>
  <si>
    <t xml:space="preserve">Unblocks the browser-to-Postgres round trip - a CUSTOMER could not previously save their own profile, so profileGuard bounced them before wizard step 1.</t>
  </si>
  <si>
    <t xml:space="preserve">1.16</t>
  </si>
  <si>
    <t xml:space="preserve">Prove one assessment reaches Postgres (ROUNDTRIP.md Part A)</t>
  </si>
  <si>
    <t xml:space="preserve">Register -&gt; profile -&gt; 5-step wizard -&gt; submit -&gt; psql. Verify intent, one patient_intake row per marked spot, side LEFT/RIGHT vs CENTRE, pain_score_after NULL, occupation, and that users_id is the account that logged in.</t>
  </si>
  <si>
    <t xml:space="preserve">Proven 2026-08-25 - an assessment reached Postgres and came back out through the assistant. Still to do: run verify.sql and screenshot it for Ch.IV.</t>
  </si>
  <si>
    <t xml:space="preserve">2.22</t>
  </si>
  <si>
    <t xml:space="preserve">AuditLogController (read-only, ADMIN)</t>
  </si>
  <si>
    <t xml:space="preserve">GET /api/v1/audit-log with branch and date filters. Repository already exists; there is no controller.</t>
  </si>
  <si>
    <t xml:space="preserve">GET /api/v1/audit-log, STAFF/ADMIN, branch-scoped from the JWT. Read-only BY CONSTRUCTION - no write route and no delete route exist, which is a claim a panel can verify by looking for the missing endpoints.</t>
  </si>
  <si>
    <t xml:space="preserve">2.23</t>
  </si>
  <si>
    <t xml:space="preserve">TherapistController + RoomController</t>
  </si>
  <si>
    <t xml:space="preserve">CRUD plus status changes, branch-scoped from the JWT. Entities and repositories exist; no controllers.</t>
  </si>
  <si>
    <t xml:space="preserve">ResourceController: GET/POST/PUT /therapists and /rooms, branch taken from the token and never from the body.</t>
  </si>
  <si>
    <t xml:space="preserve">2.24</t>
  </si>
  <si>
    <t xml:space="preserve">Wire the 5 admin screens off demo.ts</t>
  </si>
  <si>
    <t xml:space="preserve">A1 overview, A2 branches, A3 accounts, A4 config, A5 audit -&gt; BranchController, UserController, MassageController, AuditLogController.</t>
  </si>
  <si>
    <t xml:space="preserve">All five wired 2026-08-26. A1 now counts live from the DB via GET /admin/overview; A4 reads and writes the real service_protocol table and refuses a rule change with no name against it; A5 reads real audit rows.</t>
  </si>
  <si>
    <t xml:space="preserve">2.25</t>
  </si>
  <si>
    <t xml:space="preserve">Wire C8 Services and C9 service detail off demo.ts</t>
  </si>
  <si>
    <t xml:space="preserve">GET /api/v1/massages, plus the ServiceProtocol notes for 'what this is not advised with'.</t>
  </si>
  <si>
    <t xml:space="preserve">C8 and the detail page read GET /assistant/catalogue, judged against the client's own latest assessment.</t>
  </si>
  <si>
    <t xml:space="preserve">3.13</t>
  </si>
  <si>
    <t xml:space="preserve">Wire the 5 staff screens off demo.ts</t>
  </si>
  <si>
    <t xml:space="preserve">S1 dashboard, S2 queue, S3 resources, S4 report, S5 walk-in.</t>
  </si>
  <si>
    <t xml:space="preserve">4 of 5 real (S1, S3, S4, S5). S2 needs a walk_in table for arrival order - see B86.</t>
  </si>
  <si>
    <t xml:space="preserve">2.26</t>
  </si>
  <si>
    <t xml:space="preserve">Send enum displayName in the n8n payload</t>
  </si>
  <si>
    <t xml:space="preserve">ComplaintType and AnatomicalRegion carry displayName. The prompt currently reads FROZEN_SHOULDER and CERVICAL; flags read 'hypertension' instead of 'high blood pressure'.</t>
  </si>
  <si>
    <t xml:space="preserve">Done inside AssistantService: painPoints and chiefComplaint are sent as displayName, so the prompt reads 'Frozen Shoulder', not FROZEN_SHOULDER.</t>
  </si>
  <si>
    <t xml:space="preserve">0.15</t>
  </si>
  <si>
    <t xml:space="preserve">n8n housekeeping</t>
  </si>
  <si>
    <t xml:space="preserve">Chat model Maximum Number of Tokens -&gt; 2048 (still 400, still truncates); pin the n8n image version in compose.yaml; back up the n8n_data volume.</t>
  </si>
  <si>
    <t xml:space="preserve">The credential is the only piece that cannot be rebuilt from git. Backup command is in n8n/SETUP.md.</t>
  </si>
  <si>
    <t xml:space="preserve">2.27</t>
  </si>
  <si>
    <t xml:space="preserve">Assistant chat relay (part of 2.20)</t>
  </si>
  <si>
    <t xml:space="preserve">POST /api/v1/assistant/chat/{formId} relays to the n8n chat workflow, session keyed on form-{id} so clients never share a memory window. Only ServiceProtocol-approved services reach the agent.</t>
  </si>
  <si>
    <t xml:space="preserve">VERIFIED LIVE 2026-08-25: the assistant answered 'I want swedish' with the real price (PHP 550) and duration read from Postgres via allowedServices. It did not invent a price.</t>
  </si>
  <si>
    <t xml:space="preserve">2.28</t>
  </si>
  <si>
    <t xml:space="preserve">Verify the booking flow end to end</t>
  </si>
  <si>
    <t xml:space="preserve">Availability returns real slots; booking writes an appointment with source=CHATBOT; the same request twice yields ONE appointment; a taken slot returns 409 with alternatives; the agent refuses to book a slotId that is not on the list.</t>
  </si>
  <si>
    <t xml:space="preserve">PARTLY VERIFIED: a real conversational booking exists (6A6E5CD8). Still unrun and unscreenshotted: the same request twice yielding ONE appointment, the 409-with-alternatives path, and the agent refusing a slotId not on the list. That last row is the safety claim shown rather than argued.</t>
  </si>
  <si>
    <t xml:space="preserve">2.29</t>
  </si>
  <si>
    <t xml:space="preserve">Replace the invented service catalogue with the spa's real one</t>
  </si>
  <si>
    <t xml:space="preserve">10 services from 137 records (Signature Massage, Bone Setting, Therapeutic, Ventosa, Hotstone, Suob, Head Spa, Basic) with observed durations. 12 INDICATED protocols derived, each carrying its record count as its rationale.</t>
  </si>
  <si>
    <t xml:space="preserve">Every recommendation before this was for a service the spa does not sell. Prices are 0.00 - the records do not contain them and a guessed price is a false statement made to a client, so the seeder WARNs on every boot.</t>
  </si>
  <si>
    <t xml:space="preserve">4.12</t>
  </si>
  <si>
    <t xml:space="preserve">Transcribe the spa's rate card</t>
  </si>
  <si>
    <t xml:space="preserve">10 services currently seed at PHP 0.00. The assistant quotes price to clients, so this blocks any real UAT.</t>
  </si>
  <si>
    <t xml:space="preserve">STARTED - 2 of 10 treatments now priced (Signature Massage 60 at PHP 500), entered through the new A4 Service menu tab rather than the seeder. 8 still unpriced; the assistant correctly says the price is not on file for those. CRITICAL PATH until all ten are in.</t>
  </si>
  <si>
    <t xml:space="preserve">4.13</t>
  </si>
  <si>
    <t xml:space="preserve">Practitioner authors the CONTRAINDICATED rules</t>
  </si>
  <si>
    <t xml:space="preserve">Archived records show what was GIVEN, never what was WITHHELD, so no contraindication can be derived from them. The three placeholder rows have been deleted.</t>
  </si>
  <si>
    <t xml:space="preserve">CRITICAL PATH and the whole SS D3 safety claim. Until these exist the filter excludes nothing (10 of 10 allowed). Deleting the invented ones is defensible; keeping them was not.</t>
  </si>
  <si>
    <t xml:space="preserve">1.17</t>
  </si>
  <si>
    <t xml:space="preserve">Use an existing pre-assessment</t>
  </si>
  <si>
    <t xml:space="preserve">A returning client with a recent assessment can reuse it instead of re-marking the body map. POST /forms/{id}/reuse.</t>
  </si>
  <si>
    <t xml:space="preserve">Built 2026-08-30. MANUAL STEP, AND THE ORDER MATTERS: boot the rebuilt backend FIRST so ddl-auto=update adds the nullable walk_in_name column, THEN run backend/db/2026-08-30-b85-walkin-assessment.sql, which does the two things Hibernate will not - drop an existing NOT NULL and add a check constraint to a populated table. Running it first fails on 'column walk_in_name does not exist' (harmless, but you must re-run). The script is now idempotent and creates the column itself, so either order works. Same trap as B66/B77 and the clearest argument yet for 0.7/Flyway, where the ordering would not be a thing anyone has to remember.</t>
  </si>
  <si>
    <t xml:space="preserve">2.30</t>
  </si>
  <si>
    <t xml:space="preserve">Tap-to-book confirm path (POST /assistant/confirm/{formId})</t>
  </si>
  <si>
    <t xml:space="preserve">Every open time is returned to the browser in ChatResponse.slots and rendered as tappable chips grouped by day. Tapping revalidates the slotId against freshly recomputed availability and books it.</t>
  </si>
  <si>
    <t xml:space="preserve">THE MODEL IS NOT ON THIS PATH. Found because "yes please" failed where "I confirm" worked (B79). Even reading the intent correctly, the old flow needed the model to copy a long serviceId@timestamp back without a typo. Same validation, same transaction, same audit row - no language model in the middle. The conversational path still works and is still what the paper describes; it is simply no longer load-bearing.</t>
  </si>
  <si>
    <t xml:space="preserve">2.31</t>
  </si>
  <si>
    <t xml:space="preserve">My Bookings lists every appointment</t>
  </si>
  <si>
    <t xml:space="preserve">C10 shows the next visit, an "Also booked" list, and a past-visits table. Home reads the real next visit from GET /appointments/mine.</t>
  </si>
  <si>
    <t xml:space="preserve">Was showing only the soonest (B78). The assistant answered "you have two" while the page showed one - the screen disagreeing with the database, same family as B69.</t>
  </si>
  <si>
    <t xml:space="preserve">2.32</t>
  </si>
  <si>
    <t xml:space="preserve">Cancel a booking (DELETE /appointments/{id})</t>
  </si>
  <si>
    <t xml:space="preserve">No cancel endpoint exists. The home card now says plainly that hiding is not cancelling and to call the branch.</t>
  </si>
  <si>
    <t xml:space="preserve">Built 2026-08-30. DELETE /api/v1/appointments/{id}. Status set to CANCELLED, row NEVER deleted - a delete would take the audit trail and priceAtBooking with it, and CANCELLED is not in BLOCKING so the therapist and room are released anyway. Customer cancels their own and only before it starts; staff cancel anything at their branch including a visit under way, because a client leaving halfway is real. Idempotent on a double tap. APPOINTMENT_CANCELLED audit row records who cancelled and why. Two-tap confirm in the UI on both Home and My Bookings - no blocking confirm() dialog. 5 new integration tests.</t>
  </si>
  <si>
    <t xml:space="preserve">2.33</t>
  </si>
  <si>
    <t xml:space="preserve">Walk-in booking - the schema decision (B77)</t>
  </si>
  <si>
    <t xml:space="preserve">Appointment.customer is nullable=false and points at User, so an appointment cannot exist without an account. A walk-in has none.</t>
  </si>
  <si>
    <t xml:space="preserve">CLOSED 2026-08-26. Appointment.customer is nullable; walkInName/walkInContact identify the visit; a @Check constraint requires one of the two, so a nameless appointment cannot be written by any path including psql. POST /appointments/walk-in, STAFF/ADMIN, branch from the token. NO User row is invented at the counter - an account that cannot log in is a false entry in the accounts screen. Same assign() and same transaction as the online path, so the counter and the chatbot cannot award the same therapist. REQUIRES A VOLUME DROP: ddl-auto=update does not drop NOT NULL (the B66 lesson). VERIFIED by DoubleBookingTest 2026-08-26: the counter is refused once the assistant has taken every free therapist at that minute.</t>
  </si>
  <si>
    <t xml:space="preserve">3.14</t>
  </si>
  <si>
    <t xml:space="preserve">Staff record AFTER-session pain scores (SS H3)</t>
  </si>
  <si>
    <t xml:space="preserve">PUT /patient-intake/{id}/after, STAFF/ADMIN only. S4 renders the client's own marks with a per-point AFTER selector and the BEFORE-AFTER drop.</t>
  </si>
  <si>
    <t xml:space="preserve">There is deliberately NO client-facing route to write an outcome onto one's own record - a self-reported improvement is not the measure the paper claims. Saved one point at a time, because a single save-all button is how half a sheet is lost when the front desk phone rings. Writes OUTCOME_RECORDED.</t>
  </si>
  <si>
    <t xml:space="preserve">3.15</t>
  </si>
  <si>
    <t xml:space="preserve">Agree the Sprint 3 defence position with the adviser</t>
  </si>
  <si>
    <t xml:space="preserve">Sprint 3 runtime (sync log, node registry, gossip, second node) is at 0% and will not ship before approval. Decide what is claimed instead.</t>
  </si>
  <si>
    <t xml:space="preserve">The defensible claim is already true and already enforced in the schema: a therapist and a room belong to exactly one branch, therefore only that branch can book them, therefore two nodes can never award the same slot - no consensus algorithm is required. Frame decentralisation as a proven design property with the multi-node runtime as future work. A mocked second node is worse than none. HUMAN RESPONSE TIME - ask this week.</t>
  </si>
  <si>
    <t xml:space="preserve">0.16</t>
  </si>
  <si>
    <t xml:space="preserve">Integration tests for the three claims a panel will probe</t>
  </si>
  <si>
    <t xml:space="preserve">BranchScopingTest, ContraindicationFilterTest, DoubleBookingTest, plus a shared TestSupport. Real login, real JWT, real Postgres, rolled back per test.</t>
  </si>
  <si>
    <t xml:space="preserve">VERIFIED GREEN 2026-08-26 11:11 - 23 tests, 0 failures, 0 errors, 0 SKIPPED, across 4 classes (BranchScoping 7, ContraindicationFilter 7, DoubleBooking 7, FormsAccessControl 2). Counts read from target/surefire-reports, not from "BUILD SUCCESS" - a green build with zero tests executed is the same false green as B57. Run with .\test.ps1 (NOT inside the backend container: the runtime image is a JRE holding only app.jar, with no source and no Maven). Keep the surefire reports - they are Ch.IV evidence for the Technical and Operational Checklist (task 4.4).</t>
  </si>
  <si>
    <t xml:space="preserve">0.17</t>
  </si>
  <si>
    <t xml:space="preserve">Operational health endpoint</t>
  </si>
  <si>
    <t xml:space="preserve">GET /api/v1/admin/health - seven checks (database, therapists+rooms, n8n, assistant, protocol, prices, webhook auth). 503 when DOWN so a monitor need not parse the body. Rendered at the top of A1.</t>
  </si>
  <si>
    <t xml:space="preserve">Built because this system degrades QUIETLY by design: when Vertex or n8n dies the client still gets a sensible answer from the protocol table and nothing on screen says otherwise - which is exactly how a second developer lost a morning on 2026-08-28. The assistant check reads the last 10 ASSISTANT_RECOMMEND rows out of audit_log and reports whether any reached the model. VERIFIED LIVE: returned DEGRADED with four true findings on first call. Doubles as evidence for task 4.4 and answers R6.</t>
  </si>
  <si>
    <t xml:space="preserve">0.18</t>
  </si>
  <si>
    <t xml:space="preserve">GitHub Actions - run the tests on push</t>
  </si>
  <si>
    <t xml:space="preserve">Build the backend and run the 23 integration tests on every push. Needs a Postgres service container.</t>
  </si>
  <si>
    <t xml:space="preserve">Built 2026-08-30. .github/workflows/backend-tests.yml - Postgres 15 service container with a health check, JDK 17 temurin, maven cache, chmod +x on mvnw (the repo is checked out from Windows, which does not carry the executable bit), surefire reports uploaded on failure so the failing TEST is named rather than just BUILD FAILURE. Runs on push, PR and manual dispatch. Needs Liodoq to commit and push.</t>
  </si>
  <si>
    <t xml:space="preserve">2.34</t>
  </si>
  <si>
    <t xml:space="preserve">Slot coverage across the whole booking window</t>
  </si>
  <si>
    <t xml:space="preserve">spread() offers the earliest time on EVERY open day before any day gets a second, plus a middle-of-day time; the focused service is sent at FULL calendar resolution so a specific hour can be answered truthfully. B89 + B91.</t>
  </si>
  <si>
    <t xml:space="preserve">Built 2026-08-30. Serves the Scope bullet "Analyzing available time, dates, and resources" - which the old first-8-chronological rule did not.</t>
  </si>
  <si>
    <t xml:space="preserve">2.35</t>
  </si>
  <si>
    <t xml:space="preserve">Reuse an earlier assessment from /book itself</t>
  </si>
  <si>
    <t xml:space="preserve">Reaching /book with no formId was a dead end reachable from Home. It now loads history and offers the 60-day reuse copy in place. B90.</t>
  </si>
  <si>
    <t xml:space="preserve">Built 2026-08-30.</t>
  </si>
  <si>
    <t xml:space="preserve">2.36</t>
  </si>
  <si>
    <t xml:space="preserve">Rule 4 - no overlap with the CUSTOMER'S OWN bookings</t>
  </si>
  <si>
    <t xml:space="preserve">book() only guards against an identical repeat (same service, same minute). Nothing stops one client holding a 9:00 Signature and a 9:00 Ventosa - different therapist, different room, one person in two places.</t>
  </si>
  <si>
    <t xml:space="preserve">Built 2026-08-30. Rule 4 - a client cannot be in two rooms at once. The spa's three stated rules are all about the SPA's resources; none of them looks at the client, and the idempotency guard only caught an identical repeat, so one person could hold a 9:00 Signature and a 9:00 Ventosa with every rule satisfied. The 409 carries its own reason now instead of being flattened into 'that time was just taken', on both the REST and the chat paths - the slot going to someone else and the client being busy need different things done about them. 2 tests: one asserts the MESSAGE, because Bulan has a spare pair at that minute so a bare 409 could equally mean exhaustion; the other proves the rule blocks the CLIENT, not the slot.</t>
  </si>
  <si>
    <t xml:space="preserve">2.37</t>
  </si>
  <si>
    <t xml:space="preserve">Database-level exclusion constraint on overlapping appointments</t>
  </si>
  <si>
    <t xml:space="preserve">EXCLUDE USING gist (therapist_id WITH =, tsrange(start_time,end_time) WITH &amp;&amp;) WHERE status IN (PENDING,CONFIRMED,IN_PROGRESS), plus the same for room_id. Needs btree_gist.</t>
  </si>
  <si>
    <t xml:space="preserve">Built 2026-08-30 as Flyway migration V2. EXCLUDE USING gist on (therapist_id, tsrange(start_time,end_time)) and the same for room_id, partial on PENDING/CONFIRMED/IN_PROGRESS so cancelled rows release the hour, half-open ranges matching the application's own rule. assign() cannot be atomic against a concurrent transaction under READ COMMITTED - two requests milliseconds apart can both pass the check and both insert, and every test we have runs sequentially so none could catch it. writeOrConflict() uses saveAndFlush and translates the database's veto into a 409 rather than a 500, because JPA is free to defer the INSERT to commit where the catch block is out of scope. This also turns single-writer-per-partition from a claim in the paper into a constraint a panelist can read: a therapist belongs to one branch, so one node writes them, so a LOCAL constraint is sufficient and no consensus is required.</t>
  </si>
  <si>
    <t xml:space="preserve">2.38</t>
  </si>
  <si>
    <t xml:space="preserve">Decide whether TherapistStatus is honoured or dropped</t>
  </si>
  <si>
    <t xml:space="preserve">AVAILABLE / BUSY / ON_BREAK / OFF_DUTY is set on the staff screen and counted on the admin overview, but availability filters on active only - an OFF_DUTY therapist is still bookable.</t>
  </si>
  <si>
    <t xml:space="preserve">Either consult it in anyFree()/assign() or remove it from the screens. A visible control that does nothing is worse than no control.</t>
  </si>
  <si>
    <t xml:space="preserve">2.39</t>
  </si>
  <si>
    <t xml:space="preserve">Session report shows the visit, not just the form (B92)</t>
  </si>
  <si>
    <t xml:space="preserve">AppointmentRepository.findByFormId / findByFormIdIn, FormsModel.Visit, one batched query for a history page, toLog() reads it.</t>
  </si>
  <si>
    <t xml:space="preserve">Built 2026-08-30. The Chapter IV outcome surface: a before/after pain score can now name the treatment, practitioner and room that produced it.</t>
  </si>
  <si>
    <t xml:space="preserve">Walk-in pre-assessment (B85)</t>
  </si>
  <si>
    <t xml:space="preserve">Forms.user nullable + walkInName + forms_has_a_client check constraint; staff create path; WalkInRequest.formId joins the counter assessment to the visit.</t>
  </si>
  <si>
    <t xml:space="preserve">1.18</t>
  </si>
  <si>
    <t xml:space="preserve">Honest loading and error states</t>
  </si>
  <si>
    <t xml:space="preserve">Home and the session report gated on loaded(), plus BookingStore.unreachable so an empty list can say WHY it is empty.</t>
  </si>
  <si>
    <t xml:space="preserve">Built 2026-08-30. /report/:id said "We could not find that session. It may belong to another account." for as long as the history took to arrive - a false and alarming statement a panelist triggers with F5. Home said "No upcoming visit" to a client who had one. Both signals existed; neither screen used them. The report now also loads the store itself rather than depending on whichever screen happened to fill it.</t>
  </si>
  <si>
    <t xml:space="preserve">1.19</t>
  </si>
  <si>
    <t xml:space="preserve">Printable session record</t>
  </si>
  <si>
    <t xml:space="preserve">@media print on /report/:id plus a Print or save as PDF button. window.print(), no library, no server round trip, works offline.</t>
  </si>
  <si>
    <t xml:space="preserve">Built 2026-08-30. Print-only masthead so the sheet is not anonymous in a folder; controls removed rather than hidden; one column; cards never split across a page break; print-color-adjust forced because the pain scores ARE the colour and a grey 8 beside a grey 3 loses the page. The spa keeps paper, and it gives you a physical artefact to hand a panelist.</t>
  </si>
  <si>
    <t xml:space="preserve">1.20</t>
  </si>
  <si>
    <t xml:space="preserve">H9 / B44 - safety checklist and pressure as real data</t>
  </si>
  <si>
    <t xml:space="preserve">SafetyFlag enum (10 constants, displayName verbatim from the form), PressurePreference enum, forms_safety_flag element collection, both carried through the transformer, the reuse copy, and the assistant payload.</t>
  </si>
  <si>
    <t xml:space="preserve">Built 2026-08-30. No manual SQL needed - ddl-auto=update creates a new table and adds a nullable column happily. The assistant used to be told only noted_on_record:true because a claim parsed out of prose is a guess, and guessing about pregnancy is not something this system should do; it now receives the flags the client actually ticked. pressurePreference was hardcoded null in the prompt and is now real. Flags deliberately do NOT filter the service list - that stays with the practitioner-signed ServiceProtocol table until she authors a rule (4.13). Review screen and session report read the enum back in the client wording. 1 new round-trip test.</t>
  </si>
  <si>
    <t xml:space="preserve">0.19</t>
  </si>
  <si>
    <t xml:space="preserve">Flyway migration discipline documented</t>
  </si>
  <si>
    <t xml:space="preserve">db/migration/README.md - never edit an applied migration, one concern per file, every entity change ships its migration in the same commit, migrations must be safe on a populated database.</t>
  </si>
  <si>
    <t xml:space="preserve">Written 2026-08-30 alongside 0.7. The rules exist because ddl-auto=validate now fails the boot when an entity and the migrations disagree - which is the point, but only helps if the next person knows why.</t>
  </si>
  <si>
    <t xml:space="preserve">HilotSpa — Bug &amp; Finding Log</t>
  </si>
  <si>
    <t xml:space="preserve">Where</t>
  </si>
  <si>
    <t xml:space="preserve">Problem</t>
  </si>
  <si>
    <t xml:space="preserve">Severity</t>
  </si>
  <si>
    <t xml:space="preserve">B1</t>
  </si>
  <si>
    <t xml:space="preserve">FormsRepository</t>
  </si>
  <si>
    <t xml:space="preserve">findBy* returned List&lt;Repository&gt; instead of List&lt;Forms&gt;</t>
  </si>
  <si>
    <t xml:space="preserve">Critical</t>
  </si>
  <si>
    <t xml:space="preserve">Fixed</t>
  </si>
  <si>
    <t xml:space="preserve">Would fail at application startup.</t>
  </si>
  <si>
    <t xml:space="preserve">B2</t>
  </si>
  <si>
    <t xml:space="preserve">User.java</t>
  </si>
  <si>
    <t xml:space="preserve">@OneToOne mapped to a List&lt;Demographics&gt;</t>
  </si>
  <si>
    <t xml:space="preserve">B3</t>
  </si>
  <si>
    <t xml:space="preserve">Massage.java</t>
  </si>
  <si>
    <t xml:space="preserve">Table name typo "masasage"</t>
  </si>
  <si>
    <t xml:space="preserve">Minor</t>
  </si>
  <si>
    <t xml:space="preserve">B4</t>
  </si>
  <si>
    <t xml:space="preserve">LocalTime used to represent a duration</t>
  </si>
  <si>
    <t xml:space="preserve">Major</t>
  </si>
  <si>
    <t xml:space="preserve">Now durationMinute.</t>
  </si>
  <si>
    <t xml:space="preserve">B5</t>
  </si>
  <si>
    <t xml:space="preserve">compose.yaml</t>
  </si>
  <si>
    <t xml:space="preserve">Leading space parsed into the JDBC URL</t>
  </si>
  <si>
    <t xml:space="preserve">B6</t>
  </si>
  <si>
    <t xml:space="preserve">Forms / PatientIntake</t>
  </si>
  <si>
    <t xml:space="preserve">Relationship inverted; capped every form at one pain point</t>
  </si>
  <si>
    <t xml:space="preserve">Entities and models now correct.</t>
  </si>
  <si>
    <t xml:space="preserve">B7</t>
  </si>
  <si>
    <t xml:space="preserve">Forms.java</t>
  </si>
  <si>
    <t xml:space="preserve">OLD @ManyToOne PatientIntake field was never deleted</t>
  </si>
  <si>
    <t xml:space="preserve">Fixed. Circular NOT NULL FK resolved.</t>
  </si>
  <si>
    <t xml:space="preserve">B8</t>
  </si>
  <si>
    <t xml:space="preserve">findByPatientIntakeId still present</t>
  </si>
  <si>
    <t xml:space="preserve">Will not resolve once B7 is fixed. Delete the method.</t>
  </si>
  <si>
    <t xml:space="preserve">B9</t>
  </si>
  <si>
    <t xml:space="preserve">PatientIntakeTransformImpl</t>
  </si>
  <si>
    <t xml:space="preserve">bodyView not mapped in either direction</t>
  </si>
  <si>
    <t xml:space="preserve">Body view was silently lost on every save and read. Mapped both directions.</t>
  </si>
  <si>
    <t xml:space="preserve">B10</t>
  </si>
  <si>
    <t xml:space="preserve">FormsTransformImpl</t>
  </si>
  <si>
    <t xml:space="preserve">formsModel.setId() never called</t>
  </si>
  <si>
    <t xml:space="preserve">Frontend gets no form ID back.</t>
  </si>
  <si>
    <t xml:space="preserve">B11</t>
  </si>
  <si>
    <t xml:space="preserve">PatientIntake service/controller</t>
  </si>
  <si>
    <t xml:space="preserve">create + update endpoints still exist</t>
  </si>
  <si>
    <t xml:space="preserve">Done. createPatientIntake/updatePatientIntake removed from service, impl, and controller.</t>
  </si>
  <si>
    <t xml:space="preserve">B12</t>
  </si>
  <si>
    <t xml:space="preserve">-</t>
  </si>
  <si>
    <t xml:space="preserve">MassageRepository</t>
  </si>
  <si>
    <t xml:space="preserve">findByPrice returns Optional but price is not unique</t>
  </si>
  <si>
    <t xml:space="preserve">findByPrice removed entirely; lookup is now by UUID id via JpaRepository.</t>
  </si>
  <si>
    <t xml:space="preserve">B13</t>
  </si>
  <si>
    <t xml:space="preserve">All entities</t>
  </si>
  <si>
    <t xml:space="preserve">Integer IDENTITY primary keys</t>
  </si>
  <si>
    <t xml:space="preserve">UUID primary keys across all entities. GenerationType.UUID.</t>
  </si>
  <si>
    <t xml:space="preserve">B14</t>
  </si>
  <si>
    <t xml:space="preserve">Whole backend</t>
  </si>
  <si>
    <t xml:space="preserve">No Spring Security, no authentication at all</t>
  </si>
  <si>
    <t xml:space="preserve">Resolved by 0.6a-0.6c-1: Spring Security 7 + OAuth2 resource server, BCrypt hashing, JWT issuance, endpoint role rules. Remaining query-level scoping tracked separately as B29/B30.</t>
  </si>
  <si>
    <t xml:space="preserve">B15</t>
  </si>
  <si>
    <t xml:space="preserve">git history</t>
  </si>
  <si>
    <t xml:space="preserve">DB password admin1234 committed</t>
  </si>
  <si>
    <t xml:space="preserve">Mitigated</t>
  </si>
  <si>
    <t xml:space="preserve">.env now gitignored. Change the actual DB password.</t>
  </si>
  <si>
    <t xml:space="preserve">B16</t>
  </si>
  <si>
    <t xml:space="preserve">Repo</t>
  </si>
  <si>
    <t xml:space="preserve">CRLF line endings make every diff unreadable</t>
  </si>
  <si>
    <t xml:space="preserve">Fixed: .gitattributes now has * text=auto eol=lf.</t>
  </si>
  <si>
    <t xml:space="preserve">B17</t>
  </si>
  <si>
    <t xml:space="preserve">FormsServiceImpl</t>
  </si>
  <si>
    <t xml:space="preserve">Unused PatientIntakeRepository autowire + import</t>
  </si>
  <si>
    <t xml:space="preserve">Removed during 0.3 sweep.</t>
  </si>
  <si>
    <t xml:space="preserve">B18</t>
  </si>
  <si>
    <t xml:space="preserve">updateForm does not update painPoints</t>
  </si>
  <si>
    <t xml:space="preserve">Fixed: updateForm now calls replacePainPoints(); orphanRemoval deletes dropped markers.</t>
  </si>
  <si>
    <t xml:space="preserve">B19</t>
  </si>
  <si>
    <t xml:space="preserve">src/test</t>
  </si>
  <si>
    <t xml:space="preserve">BackendApplicationTests deleted; zero tests exist</t>
  </si>
  <si>
    <t xml:space="preserve">CLOSED and VERIFIED 2026-08-26 - 23 tests green, 0 skipped. The three added are exactly the questions a panel asks: can staff see another branch, does the safety filter actually filter, and can two people be given the same therapist.</t>
  </si>
  <si>
    <t xml:space="preserve">B20</t>
  </si>
  <si>
    <t xml:space="preserve">.git</t>
  </si>
  <si>
    <t xml:space="preserve">Stale index.lock left by the review bridge</t>
  </si>
  <si>
    <t xml:space="preserve">Fixed: lock cleared.</t>
  </si>
  <si>
    <t xml:space="preserve">B21</t>
  </si>
  <si>
    <t xml:space="preserve">Branch/Forms + User/Demographics</t>
  </si>
  <si>
    <t xml:space="preserve">Bidirectional relationships with no @ToString.Exclude / @EqualsAndHashCode.Exclude</t>
  </si>
  <si>
    <t xml:space="preserve">Fixed: excludes added to all 5 bidirectional fields.</t>
  </si>
  <si>
    <t xml:space="preserve">B22</t>
  </si>
  <si>
    <t xml:space="preserve">Branch.java</t>
  </si>
  <si>
    <t xml:space="preserve">@OneToMany(cascade = ALL) on Branch.forms</t>
  </si>
  <si>
    <t xml:space="preserve">Fixed: cascade removed from Branch.forms. Patient records survive branch deletion.</t>
  </si>
  <si>
    <t xml:space="preserve">B23</t>
  </si>
  <si>
    <t xml:space="preserve">Demographics.java</t>
  </si>
  <si>
    <t xml:space="preserve">@JoinColumn(name = "usersId") is camelCase; Forms uses users_id</t>
  </si>
  <si>
    <t xml:space="preserve">Fixed: renamed to users_id.</t>
  </si>
  <si>
    <t xml:space="preserve">B24</t>
  </si>
  <si>
    <t xml:space="preserve">MassageController</t>
  </si>
  <si>
    <t xml:space="preserve">@GetMapping("/{price}") bound to @PathVariable("massagePrice"); @PutMapping("/{id}") bound to massageId</t>
  </si>
  <si>
    <t xml:space="preserve">Name mismatches would fail at startup. Endpoints rebuilt around /{id}.</t>
  </si>
  <si>
    <t xml:space="preserve">B25</t>
  </si>
  <si>
    <t xml:space="preserve">role mapped without @Enumerated - JPA silently defaults to ORDINAL</t>
  </si>
  <si>
    <t xml:space="preserve">Stores 0/1/2 not CUSTOMER/STAFF/ADMIN. Reordering the enum later would silently reassign access. Now EnumType.STRING.</t>
  </si>
  <si>
    <t xml:space="preserve">B26</t>
  </si>
  <si>
    <t xml:space="preserve">price was a Float</t>
  </si>
  <si>
    <t xml:space="preserve">Floating point cannot represent money exactly; totals drift and revenue will not reconcile. Now BigDecimal(10,2).</t>
  </si>
  <si>
    <t xml:space="preserve">B27</t>
  </si>
  <si>
    <t xml:space="preserve">complaint fields were free-text String</t>
  </si>
  <si>
    <t xml:space="preserve">"Sciatica" vs "sciatica" were different conditions; AI contraindication lookup would miss. Now ComplaintType enum.</t>
  </si>
  <si>
    <t xml:space="preserve">B28</t>
  </si>
  <si>
    <t xml:space="preserve">.env</t>
  </si>
  <si>
    <t xml:space="preserve">Two JWT_SECRET lines - placeholder and real value</t>
  </si>
  <si>
    <t xml:space="preserve">Whichever won depended on the loader. The 50-char placeholder passes the 256-bit check, so the app would have booted happily signing tokens with a value committed in .env.example. Silent, not an error.</t>
  </si>
  <si>
    <t xml:space="preserve">B29</t>
  </si>
  <si>
    <t xml:space="preserve">0.6c-2</t>
  </si>
  <si>
    <t xml:space="preserve">createForm trusts userId and branchId from the request body</t>
  </si>
  <si>
    <t xml:space="preserve">VERIFIED 2026-08-22: createForm already reads CurrentUser.id() and overrides the body for a CUSTOMER. Was fixed in an earlier session and never marked.</t>
  </si>
  <si>
    <t xml:space="preserve">B30</t>
  </si>
  <si>
    <t xml:space="preserve">FormsController</t>
  </si>
  <si>
    <t xml:space="preserve">GET /api/v1/forms returns every patient assessment to any authenticated user</t>
  </si>
  <si>
    <t xml:space="preserve">VERIFIED 2026-08-22: getAllForms already branches on role - ADMIN all, STAFF own branch, CUSTOMER own records via findByUserId. Fixed in an earlier session and never marked.</t>
  </si>
  <si>
    <t xml:space="preserve">B31</t>
  </si>
  <si>
    <t xml:space="preserve">All 6 controllers</t>
  </si>
  <si>
    <t xml:space="preserve">@CrossOrigin annotations duplicate the CorsConfigurationSource bean</t>
  </si>
  <si>
    <t xml:space="preserve">Open</t>
  </si>
  <si>
    <t xml:space="preserve">Still on all six controllers, duplicating the CorsConfigurationSource bean.</t>
  </si>
  <si>
    <t xml:space="preserve">B32</t>
  </si>
  <si>
    <t xml:space="preserve">Repo root</t>
  </si>
  <si>
    <t xml:space="preserve">Superseded HilotSpa_Baseline_Observation.xlsx still present</t>
  </si>
  <si>
    <t xml:space="preserve">HilotSpa_Baseline_Observation.xlsx still in the repo root, superseded by two split workbooks.</t>
  </si>
  <si>
    <t xml:space="preserve">B33</t>
  </si>
  <si>
    <t xml:space="preserve">hilotspaObsidia/ untracked - neither committed nor ignored</t>
  </si>
  <si>
    <t xml:space="preserve">hilotspaObsidia/ is gitignored; it no longer shows as untracked.</t>
  </si>
  <si>
    <t xml:space="preserve">B34</t>
  </si>
  <si>
    <t xml:space="preserve">package.json</t>
  </si>
  <si>
    <t xml:space="preserve">tailwindcss listed in BOTH dependencies (^4.3.3) and devDependencies (^4.1.12). Two versions of one package resolve unpredictably.</t>
  </si>
  <si>
    <t xml:space="preserve">Now devDependencies only. tailwindcss and @tailwindcss/postcss must match exactly in v4.</t>
  </si>
  <si>
    <t xml:space="preserve">B35</t>
  </si>
  <si>
    <t xml:space="preserve">0.6c</t>
  </si>
  <si>
    <t xml:space="preserve">FormsTransformImpl + FormsServiceImpl</t>
  </si>
  <si>
    <t xml:space="preserve">transform(FormsModel) and applyFields do the SAME entity mapping in two places. Every new field must be added to both or they silently drift.</t>
  </si>
  <si>
    <t xml:space="preserve">Found while wiring Forms.intent. Not urgent, but it will cause a "why is this field null" hunt eventually.</t>
  </si>
  <si>
    <t xml:space="preserve">B36</t>
  </si>
  <si>
    <t xml:space="preserve">JWT_SECRET and SPRING_PROFILES_ACTIVE were never passed into the backend container. application.properties could not resolve ${JWT_SECRET}, the context failed, restart: on-failure turned it into a silent crash loop.</t>
  </si>
  <si>
    <t xml:space="preserve">Presented as "could not reach server". Fixed with env_file: .env plus environment overrides for DB_HOST/DB_PORT. Same family as B28.</t>
  </si>
  <si>
    <t xml:space="preserve">B37</t>
  </si>
  <si>
    <t xml:space="preserve">FormsAccessControlTest</t>
  </si>
  <si>
    <t xml:space="preserve">The createForm helper posts a JSON body with no "intent". It is currently dead code, so the suite is green while the fixture is invalid.</t>
  </si>
  <si>
    <t xml:space="preserve">It will fail the moment test three is written, with a 500 on a test about authorization.</t>
  </si>
  <si>
    <t xml:space="preserve">B38</t>
  </si>
  <si>
    <t xml:space="preserve">tailwind.css</t>
  </si>
  <si>
    <t xml:space="preserve">Tailwind 4 @theme only emits variables it sees used, and it scans templates for utility classes, not var() in .scss. --radius-* and the tap size were dropped, so every input lost its height and corners.</t>
  </si>
  <si>
    <t xml:space="preserve">Fixed with @theme static plus a :root block in styles.scss. Also renamed --spacing-tap to --tap: --spacing-* is Tailwind own namespace.</t>
  </si>
  <si>
    <t xml:space="preserve">B39</t>
  </si>
  <si>
    <t xml:space="preserve">interactions.scss</t>
  </si>
  <si>
    <t xml:space="preserve">.mk.static sets transform:none, but the hover rule re-applied translate(-50%,-50%). Every marker in the "Spots you marked" list jumped on hover.</t>
  </si>
  <si>
    <t xml:space="preserve">Static markers now scale in place.</t>
  </si>
  <si>
    <t xml:space="preserve">B40</t>
  </si>
  <si>
    <t xml:space="preserve">review.html</t>
  </si>
  <si>
    <t xml:space="preserve">The C7 thumbnails rendered real &lt;button&gt; markers with no handler bound: three focusable controls that did nothing.</t>
  </si>
  <si>
    <t xml:space="preserve">BodyMap now takes an interactive input; review passes false and the markers render disabled.</t>
  </si>
  <si>
    <t xml:space="preserve">B41</t>
  </si>
  <si>
    <t xml:space="preserve">mockup JS</t>
  </si>
  <si>
    <t xml:space="preserve">getAttribute on a valueless attribute returns "" (falsy), so a hasAttribute check was needed. Filters silently did nothing.</t>
  </si>
  <si>
    <t xml:space="preserve">Prototype only, but the same trap exists with bare attribute inputs in Angular.</t>
  </si>
  <si>
    <t xml:space="preserve">B42</t>
  </si>
  <si>
    <t xml:space="preserve">Forms.java / FormsModel</t>
  </si>
  <si>
    <t xml:space="preserve">intent was added to the entity as NOT NULL but not to the model, transformer or applyFields. Every form creation would have inserted null and failed at the database.</t>
  </si>
  <si>
    <t xml:space="preserve">Compiled cleanly. Same family as the three Session 3 boot failures: the compiler cannot see a field you forgot to use.</t>
  </si>
  <si>
    <t xml:space="preserve">B43</t>
  </si>
  <si>
    <t xml:space="preserve">SecurityConfig line 68</t>
  </si>
  <si>
    <t xml:space="preserve">/api/v1/demographics/** is hasAnyRole(STAFF, ADMIN), so a CUSTOMER cannot save their own C3 answers.</t>
  </si>
  <si>
    <t xml:space="preserve">Added POST/GET /api/v1/demographics/me - identity from the JWT, body never trusted. SecurityConfig rule placed ABOVE the STAFF/ADMIN line (Spring takes the first match). /create, /{id}, PUT and the list stay STAFF+ADMIN for walk-ins.</t>
  </si>
  <si>
    <t xml:space="preserve">B44</t>
  </si>
  <si>
    <t xml:space="preserve">assessment.store.ts</t>
  </si>
  <si>
    <t xml:space="preserve">buildRemarks() packs occupation, illness detail, therapy detail and safety flags into a text blob because H1/H2 have not landed.</t>
  </si>
  <si>
    <t xml:space="preserve">Marked TEMPORARY in the code. A blob is not queryable and cannot be shown back on the review screen. | Fixed 2026-08-30 - see task 1.20. remarks is free text again; assessments written before this date still carry the old "Flagged: ... | Preferred pressure: ..." sentences.</t>
  </si>
  <si>
    <t xml:space="preserve">B45</t>
  </si>
  <si>
    <t xml:space="preserve">mainComplaint is now nullable so a leisure assessment can save. The conditional rule - required when intent=PAIN, forbidden when LEISURE - is not enforced anywhere.</t>
  </si>
  <si>
    <t xml:space="preserve">A column constraint cannot express it. It belongs in createForm as a guard that throws 400. | Fixed 2026-08-30.</t>
  </si>
  <si>
    <t xml:space="preserve">B46</t>
  </si>
  <si>
    <t xml:space="preserve">core/demo.ts</t>
  </si>
  <si>
    <t xml:space="preserve">Every figure on the Sprint 2 and 3 screens is placeholder data.</t>
  </si>
  <si>
    <t xml:space="preserve">CLOSED 2026-08-26. Every Sprint 2 and 3 screen now reads a real endpoint, and core/demo.ts has been deleted outright so nothing can quietly fall back to it. The two screens with no backend - S2 queue and S5 walk-in - show honest not-built states naming what is missing rather than convincing fake names.</t>
  </si>
  <si>
    <t xml:space="preserve">B47</t>
  </si>
  <si>
    <t xml:space="preserve">6 x &lt;select&gt; across profile, history, body map, walk-in</t>
  </si>
  <si>
    <t xml:space="preserve">&lt;select [value]="x"&gt; with @for options assigns the value in the same change-detection pass that creates the &lt;option&gt; elements, so it silently resets to the first one. Civil status never saved.</t>
  </si>
  <si>
    <t xml:space="preserve">Bind [selected] on the option instead. It was wrong in six places, not just the one he reported.</t>
  </si>
  <si>
    <t xml:space="preserve">B48</t>
  </si>
  <si>
    <t xml:space="preserve">app-nav</t>
  </si>
  <si>
    <t xml:space="preserve">The avatar called auth.logout() on click. One stray click ended the session and took a half-filled assessment with it.</t>
  </si>
  <si>
    <t xml:space="preserve">Opens an account menu now.</t>
  </si>
  <si>
    <t xml:space="preserve">B49</t>
  </si>
  <si>
    <t xml:space="preserve">Two "Submit my assessment" buttons on one screen - ambiguous which one saved.</t>
  </si>
  <si>
    <t xml:space="preserve">Footer only.</t>
  </si>
  <si>
    <t xml:space="preserve">B50</t>
  </si>
  <si>
    <t xml:space="preserve">review.ts</t>
  </si>
  <si>
    <t xml:space="preserve">After a successful submit the router went back to /assessment/intent. Submitting read as "nothing happened".</t>
  </si>
  <si>
    <t xml:space="preserve">Goes to /book - a completed assessment is what unlocks the assistant.</t>
  </si>
  <si>
    <t xml:space="preserve">B51</t>
  </si>
  <si>
    <t xml:space="preserve">intent.ts</t>
  </si>
  <si>
    <t xml:space="preserve">Leisure reached the assistant without writing a Forms record.</t>
  </si>
  <si>
    <t xml:space="preserve">Would have made the pain/leisure fork cosmetic and destroyed the SS E1 defense line. Now one tap that saves first, then goes to /book.</t>
  </si>
  <si>
    <t xml:space="preserve">B52</t>
  </si>
  <si>
    <t xml:space="preserve">4 wizard steps</t>
  </si>
  <si>
    <t xml:space="preserve">"Save and finish later" and "Back to home" called auth.logout().</t>
  </si>
  <si>
    <t xml:space="preserve">Hostile behaviour on a half-filled form.</t>
  </si>
  <si>
    <t xml:space="preserve">B53</t>
  </si>
  <si>
    <t xml:space="preserve">An empty PAIN assessment - no spots, no chief complaint - could be submitted.</t>
  </si>
  <si>
    <t xml:space="preserve">Client-side guard added. The SERVER-side guard is still B45.</t>
  </si>
  <si>
    <t xml:space="preserve">B54</t>
  </si>
  <si>
    <t xml:space="preserve">home.ts</t>
  </si>
  <si>
    <t xml:space="preserve">Cancelling a booking lived in a signal only, so a refresh brought it back.</t>
  </si>
  <si>
    <t xml:space="preserve">BookingStore persisted to localStorage until DELETE /appointments exists.</t>
  </si>
  <si>
    <t xml:space="preserve">B55</t>
  </si>
  <si>
    <t xml:space="preserve">home.html</t>
  </si>
  <si>
    <t xml:space="preserve">"View report" opened /assessment/review - the live wizard. A finished session could be rewritten, and what was edited was the NEW draft, not the old record.</t>
  </si>
  <si>
    <t xml:space="preserve">Read-only /report/:id.</t>
  </si>
  <si>
    <t xml:space="preserve">B56</t>
  </si>
  <si>
    <t xml:space="preserve">body-map</t>
  </si>
  <si>
    <t xml:space="preserve">Free coordinates let markers land in empty space beside the torso, and the region label rendered blank.</t>
  </si>
  <si>
    <t xml:space="preserve">Rebuilt on 30 fixed hotspots. Region is now a fact about which point was tapped.</t>
  </si>
  <si>
    <t xml:space="preserve">B57</t>
  </si>
  <si>
    <t xml:space="preserve">process</t>
  </si>
  <si>
    <t xml:space="preserve">Two patches failed SILENTLY because Liodoq had edited the same file (renamed leave() to back()). String-match patching found nothing and reported success.</t>
  </si>
  <si>
    <t xml:space="preserve">Read before patching when both parties are editing. Verify after every patch batch.</t>
  </si>
  <si>
    <t xml:space="preserve">B58</t>
  </si>
  <si>
    <t xml:space="preserve">PatientIntakeModel</t>
  </si>
  <si>
    <t xml:space="preserve">The UI now records the client left/right, but there is no column to send it to.</t>
  </si>
  <si>
    <t xml:space="preserve">CLOSED in Track A (task 0.11). PatientIntake.side is a Side enum and is written; S4 renders L/R per marked point. Status was left stale.</t>
  </si>
  <si>
    <t xml:space="preserve">B59</t>
  </si>
  <si>
    <t xml:space="preserve">PatientIntakeRepository</t>
  </si>
  <si>
    <t xml:space="preserve">findPatientIntakeByAnatomicalRegionAndPainScore survived the H1-H8 rename with a stale property name AND a stale String parameter. Compiled clean, crash-looped at boot.</t>
  </si>
  <si>
    <t xml:space="preserve">Both methods had zero callers and were deleted, not renamed. The coordinate lookup also wrongly assumed an (x,y) pair is unique across all clients.</t>
  </si>
  <si>
    <t xml:space="preserve">B60</t>
  </si>
  <si>
    <t xml:space="preserve">n8n Validate and rank</t>
  </si>
  <si>
    <t xml:space="preserve">A 401 from Vertex and a deactivated Vertex node both reported modelUsed=stub, so a broken credential was indistinguishable from a healthy FALLBACK.</t>
  </si>
  <si>
    <t xml:space="preserve">Now separates stub / error / model-version and surfaces Google's message in parseError. This is what found B61.</t>
  </si>
  <si>
    <t xml:space="preserve">B61</t>
  </si>
  <si>
    <t xml:space="preserve">n8n Google Service Account credential</t>
  </si>
  <si>
    <t xml:space="preserve">Vertex returns 401 UNAUTHENTICATED - 'missing required authentication credential'. No token is being attached; 401 not 403 rules out the IAM role.</t>
  </si>
  <si>
    <t xml:space="preserve">ROOT CAUSE: the Google Service Account credential has a 'Set up for use in HTTP Request node' TOGGLE, not a plain Scope(s) field. Off by default, so the generic HTTP node got no token. The Vertex Chat Model node uses the credential natively and never needed it - which is why chat worked while recommend returned 401 on the same credential.</t>
  </si>
  <si>
    <t xml:space="preserve">B62</t>
  </si>
  <si>
    <t xml:space="preserve">GEMINI_API_KEY sat in .env looking load-bearing. Spring never calls Gemini - n8n does - so it was never read.</t>
  </si>
  <si>
    <t xml:space="preserve">Commented out with the reason. An empty variable that looks required is worse than no variable.</t>
  </si>
  <si>
    <t xml:space="preserve">B63</t>
  </si>
  <si>
    <t xml:space="preserve">GCP project identity</t>
  </si>
  <si>
    <t xml:space="preserve">Chat model was set to project 'talkingAgent'. RESOLVED: that is the display name; the id is gen-lang-client-0276346734, same project as the service account JSON. No mismatch.</t>
  </si>
  <si>
    <t xml:space="preserve">CLOSED. Vertex has answered live repeatedly since 2026-08-22 on gen-lang-client-0276346734 - the API is enabled and billing is attached, or nothing would return. Status was left stale after the problem resolved itself.</t>
  </si>
  <si>
    <t xml:space="preserve">B64</t>
  </si>
  <si>
    <t xml:space="preserve">n8n Vertex chat + recommend</t>
  </si>
  <si>
    <t xml:space="preserve">Chat reply was cut off mid-sentence ('...ensure the pressure is'). gemini-2.5-flash is a thinking model and reasoning tokens count against maxOutputTokens, so a small budget is spent before any text is emitted.</t>
  </si>
  <si>
    <t xml:space="preserve">Fixed by maxOutputTokens 2048 + thinkingConfig.thinkingBudget 0 in the Vertex Gemini JSON body. Before: thoughtTokens 491, answerTokens 6, finishReason MAX_TOKENS. After: parseError null. STILL TO DO: the chat model node is on 400 tokens and will truncate the same way - set it to 2048.</t>
  </si>
  <si>
    <t xml:space="preserve">B65</t>
  </si>
  <si>
    <t xml:space="preserve">DemographicsServiceImpl</t>
  </si>
  <si>
    <t xml:space="preserve">createDemographics never set the user - the code carried a 'should be handled here if needed' note. Every row was written orphaned with users_id NULL, so findByUserId could never retrieve it and the profile silently vanished.</t>
  </si>
  <si>
    <t xml:space="preserve">Postgres allows unlimited NULLs through a unique constraint, so nothing ever complained. Fixed in saveMine, which sets the user from the token.</t>
  </si>
  <si>
    <t xml:space="preserve">B66</t>
  </si>
  <si>
    <t xml:space="preserve">Demographics entity</t>
  </si>
  <si>
    <t xml:space="preserve">height and weight were @Column(nullable = false) while the UI and the paper form both treat them as optional. A client leaving weight blank would have hit a constraint violation on save.</t>
  </si>
  <si>
    <t xml:space="preserve">Made nullable. Blocking a booking over an unstated weight fails NFR#4. Needs docker compose down -v - ddl-auto=update does not drop NOT NULL.</t>
  </si>
  <si>
    <t xml:space="preserve">B67</t>
  </si>
  <si>
    <t xml:space="preserve">auth.service logout</t>
  </si>
  <si>
    <t xml:space="preserve">logout() cleared the auth token but left the cached profile in localStorage - another person's birth date, civil status and occupation, on what is a shared machine at the front desk.</t>
  </si>
  <si>
    <t xml:space="preserve">Found while moving ProfileStore onto the server. logout() now clears PROFILE_CACHE_KEY too.</t>
  </si>
  <si>
    <t xml:space="preserve">B68</t>
  </si>
  <si>
    <t xml:space="preserve">process / compose</t>
  </si>
  <si>
    <t xml:space="preserve">docker compose down -v wiped the n8n volume - workflows, Vertex credential, owner account and execution history. Claude gave the command without checking that n8n_data lived in the same compose project.</t>
  </si>
  <si>
    <t xml:space="preserve">Recovery took ~10 min because both workflows are version-controlled files and the service-account JSON was still on disk. Only the credential is unrecoverable by design (encrypted per instance). Documented in n8n/SETUP.md with the drop-one-volume command and a volume backup. LESSON: check what else shares the compose project before suggesting a destructive flag.</t>
  </si>
  <si>
    <t xml:space="preserve">B69</t>
  </si>
  <si>
    <t xml:space="preserve">1.15</t>
  </si>
  <si>
    <t xml:space="preserve">booking.store.ts / home / session-report</t>
  </si>
  <si>
    <t xml:space="preserve">A brand-new account opened onto three fictional past sessions and a fictional body map. BookingStore seeded history from demo.ts PAST_VISITS at module load and home rendered LAST_POINTS, so EVERY user saw the same clinical record. Every session report showed the same body map too.</t>
  </si>
  <si>
    <t xml:space="preserve">Found by Liodoq registering a fresh email. Now loads GET /api/v1/forms, which the backend already scopes to the caller. New account shows nothing, which is correct. lastPoints comes from the client's own most recent form; each report renders its own marks. Also fixes the enum leak in the UI (LOWER_BACK_PAIN -&gt; Lower Back Pain).</t>
  </si>
  <si>
    <t xml:space="preserve">B70</t>
  </si>
  <si>
    <t xml:space="preserve">auth.service / profile.store</t>
  </si>
  <si>
    <t xml:space="preserve">Registering or logging in as a different user in the same browser kept the previous client's demographics. logout() cleared the cache, but accept() did not - so a brand new account opened onto the last person's birth date, sex, civil status and occupation.</t>
  </si>
  <si>
    <t xml:space="preserve">Found by Liodoq registering a@gmail.com after his own account. accept() now compares the incoming userId to the current one and wipes BOTH caches, in memory and in localStorage, on any change - then reloads from the server. The front desk is a shared machine, so this is a real disclosure, not a demo artefact.</t>
  </si>
  <si>
    <t xml:space="preserve">B71</t>
  </si>
  <si>
    <t xml:space="preserve">The wellness profile card had 'Lower Back Pain', '1 - 6 months', 'High blood pressure' and 'From your last assessment, 2 August' written directly into the template, so every account showed them even after the data layer was fixed.</t>
  </si>
  <si>
    <t xml:space="preserve">Bound to the client's own most recent form, with a real empty state for a new account. Duration and the record note only render when present.</t>
  </si>
  <si>
    <t xml:space="preserve">B72</t>
  </si>
  <si>
    <t xml:space="preserve">DevDataSeeder / Massage</t>
  </si>
  <si>
    <t xml:space="preserve">The seeded service catalogue was invented (Traditional Hilot, Swedish Relaxation, Foot Reflexology, Deep Tissue). The spa actually sells Signature Massage, Bone Setting, Therapeutic Massage, Ventosa, Hotstone, Suob, Head Spa, Basic Massage. Every AI recommendation was for a service that does not exist.</t>
  </si>
  <si>
    <t xml:space="preserve">Found by reviewing 137 archived records. Would have invalidated every UAT session and every Ch.IV recommendation figure.</t>
  </si>
  <si>
    <t xml:space="preserve">B73</t>
  </si>
  <si>
    <t xml:space="preserve">ServiceProtocol seed</t>
  </si>
  <si>
    <t xml:space="preserve">Three CONTRAINDICATED rows were placeholders, yet they actively filtered what the assistant could offer. The SS D3 safety demonstration was running on invented clinical rules.</t>
  </si>
  <si>
    <t xml:space="preserve">Deleted. Archived records cannot establish a contraindication - they never record a service being withheld. The mechanism is built and awaits real rules (task 4.13).</t>
  </si>
  <si>
    <t xml:space="preserve">B74</t>
  </si>
  <si>
    <t xml:space="preserve">Appointment / Massage</t>
  </si>
  <si>
    <t xml:space="preserve">The spa sells COMBOS - 'Signature Massage (60) + Ventosa (30)' is the norm, not the exception. Appointment holds exactly one service, so a real booking cannot be represented.</t>
  </si>
  <si>
    <t xml:space="preserve">Schema gap on the scale of the SS H items. Options: an add-on join table, or a composite service row per combo. Needs a decision before UAT.</t>
  </si>
  <si>
    <t xml:space="preserve">B75</t>
  </si>
  <si>
    <t xml:space="preserve">paper</t>
  </si>
  <si>
    <t xml:space="preserve">Appendix A coverage</t>
  </si>
  <si>
    <t xml:space="preserve">'Others' is 28 of 137 records - tied with Lower Back Pain as the most common presentation. A fifth of real clients do not map onto Appendix A's 24 conditions. 6 conditions never appear at all.</t>
  </si>
  <si>
    <t xml:space="preserve">A finding for the paper, not a defect. mainComplaintOther already captures the text; Ch.IV should report the 20% figure rather than let a panellist compute it.</t>
  </si>
  <si>
    <t xml:space="preserve">B76</t>
  </si>
  <si>
    <t xml:space="preserve">Practitioner identity</t>
  </si>
  <si>
    <t xml:space="preserve">The Protocol Draft names Raymund D. Hilotin; the paper intake form names Gary O. Trinidad, BONE SETTER. Combined with SS A4 (researcher Niccolo Gwyne C. Hilotin shares the owners' surname), the panel will ask.</t>
  </si>
  <si>
    <t xml:space="preserve">Decide which name signs the ServiceProtocol table, and write the SS A4 disclosure sentence in the same pass.</t>
  </si>
  <si>
    <t xml:space="preserve">B77</t>
  </si>
  <si>
    <t xml:space="preserve">Appointment / entities</t>
  </si>
  <si>
    <t xml:space="preserve">Appointment.customer is @JoinColumn(nullable = false) onto User, so an appointment cannot exist without an account - and a walk-in, which is what S5 exists to record, has none. Half the answer is already in the schema: DemographicsController.createDemographics exists precisely for the account-less client.</t>
  </si>
  <si>
    <t xml:space="preserve">CLOSED 2026-08-26. customer nullable + walkInName/walkInContact + a @Check constraint requiring one of them. Rejected the alternative (a counter-held User row) because an account that cannot log in is a false entry in the accounts screen and would undermine the claim that self-registration is the only way an account exists. The consequence is stated rather than hidden: a walk-in has no account, so no history follows them - which is what happens on paper today. Covered by DoubleBookingTest.</t>
  </si>
  <si>
    <t xml:space="preserve">B78</t>
  </si>
  <si>
    <t xml:space="preserve">booking.ts / booking.html / booking.store</t>
  </si>
  <si>
    <t xml:space="preserve">My Bookings computed the soonest upcoming visit with [0] and discarded the rest; past was computed and never rendered. A client with two bookings saw one and had no way to know the other existed. The home screen's next-visit card was separately always empty - BookingStore.upcoming was a null signal with a TODO.</t>
  </si>
  <si>
    <t xml:space="preserve">Found by Liodoq: the assistant answered "you have two" while the page showed one. Same family as B69 - the screen quietly disagreeing with the database. Now: next visit highlighted, an "Also booked" list, and a past-visits table; home reads GET /appointments/mine.</t>
  </si>
  <si>
    <t xml:space="preserve">B79</t>
  </si>
  <si>
    <t xml:space="preserve">chat-build-context.js / AssistantServiceImpl</t>
  </si>
  <si>
    <t xml:space="preserve">"yes please" failed to book where "I confirm" worked. Two causes: the prompt said "only after the client has clearly agreed" without ever saying what agreement looks like, and even with the intent read correctly the booking still required the model to copy a long serviceId@timestamp back verbatim.</t>
  </si>
  <si>
    <t xml:space="preserve">Prompt rule 9 now enumerates agreement explicitly - yes, yes please, opo, oo, sige, okay, go ahead, book it, confirm - and forbids the agent from asking a client to rephrase. The structural fix matters more: POST /assistant/confirm/{formId} books a tapped slotId with the model nowhere on the path, so a client can always finish whatever the assistant does with the word "yes".</t>
  </si>
  <si>
    <t xml:space="preserve">B80</t>
  </si>
  <si>
    <t xml:space="preserve">chat-build-context.js</t>
  </si>
  <si>
    <t xml:space="preserve">Asked for availability, the assistant read out every open time in prose - nine half-hour slots across two services in one paragraph. Unreadable, and worse for the older adults NFR#4 is written for.</t>
  </si>
  <si>
    <t xml:space="preserve">Prompt rules 15-17: name at most two times, describe a run as a range, never a bulleted list. The times themselves are now chips grouped by day, with Today/Tomorrow/date computed in Java in the spa timezone - a wrong device clock cannot rename a day.</t>
  </si>
  <si>
    <t xml:space="preserve">B81</t>
  </si>
  <si>
    <t xml:space="preserve">DevDataSeeder / recommendation UI</t>
  </si>
  <si>
    <t xml:space="preserve">Two catalogue rows are both named "Signature Massage" - 60 min (84 records) and 90 min (2 records). Suggestion cards showed the name alone, so the list read as the same row twice with two different reasons.</t>
  </si>
  <si>
    <t xml:space="preserve">Recommendation now carries durationMinutes and price, taken from the database row and never from the model, and the prompt requires the minutes to be said with the name. Real data, not a seeding mistake - the spa genuinely sells one treatment at two lengths.</t>
  </si>
  <si>
    <t xml:space="preserve">B82</t>
  </si>
  <si>
    <t xml:space="preserve">admin/overview</t>
  </si>
  <si>
    <t xml:space="preserve">The Assistant reliability panel showed "0 out-of-catalog suggestions", "86% agreement with practitioner" and "142 suggestions this month" as literal text in the template. Invented numbers on the one screen whose entire purpose is to show that the reliability figure is measured rather than asserted.</t>
  </si>
  <si>
    <t xml:space="preserve">Now counted from audit_log by GET /admin/overview, using the same arithmetic as backend/verify.sql, so the screen and psql can be shown side by side and agree. This is the single worst thing a panellist could have found: a fabricated metric on the evidence screen.</t>
  </si>
  <si>
    <t xml:space="preserve">B83</t>
  </si>
  <si>
    <t xml:space="preserve">admin/overview + admin/branches</t>
  </si>
  <si>
    <t xml:space="preserve">Both screens drew two branch nodes, one ONLINE and one OFFLINE with queued writes and stale figures. There is one node, and no node registry exists.</t>
  </si>
  <si>
    <t xml:space="preserve">Reports the node answering the request and says on screen that the registry is Sprint 3. A second node drawn as offline is a picture of a feature, not the feature - and it invites exactly the question there is no good answer to.</t>
  </si>
  <si>
    <t xml:space="preserve">B84</t>
  </si>
  <si>
    <t xml:space="preserve">home.ts / booking.store</t>
  </si>
  <si>
    <t xml:space="preserve">Cancel showed "Cancelled - Sunday 23 August is free again" while no DELETE endpoint exists. The row stayed CONFIRMED, the therapist and room stayed blocked, and the client would only discover it by turning up.</t>
  </si>
  <si>
    <t xml:space="preserve">Wording fixed to say the card is hidden here only and to call the branch; the endpoint itself is task 2.32. Copy that claims a write which did not happen is worse than a missing button.</t>
  </si>
  <si>
    <t xml:space="preserve">B85</t>
  </si>
  <si>
    <t xml:space="preserve">Forms entity</t>
  </si>
  <si>
    <t xml:space="preserve">Forms.user is @JoinColumn(nullable = false), so a walk-in cannot have a pre-assessment either - the same defect as B77, one table over. A client who walks in and IS willing to fill in the form still cannot have it recorded against their visit.</t>
  </si>
  <si>
    <t xml:space="preserve">Deliberately left out of the B77 fix to keep one schema change to one table. Also riskier: making Forms.user nullable weakens the ownership invariant B29/B30 established, and BookingServiceImpl.book() dereferences form.getUser() directly. The honest boundary for now matches R9 - the walk-in's intake stays on paper, like the practitioner's half of Appendix A. | Fixed 2026-08-30.</t>
  </si>
  <si>
    <t xml:space="preserve">B86</t>
  </si>
  <si>
    <t xml:space="preserve">Staff queue (S2)</t>
  </si>
  <si>
    <t xml:space="preserve">There is no walk_in table holding arrival time and waiting order, so the queue screen cannot order anybody. An appointment row records when someone is BOOKED, not how long they have been standing at the counter.</t>
  </si>
  <si>
    <t xml:space="preserve">S2 now shows today's real remaining sessions and who is free, with a banner naming exactly what is missing, rather than invented names. Low priority: the spa currently manages the queue by looking at the queue.</t>
  </si>
  <si>
    <t xml:space="preserve">B87</t>
  </si>
  <si>
    <t xml:space="preserve">n8n/chat-build-context.js</t>
  </si>
  <si>
    <t xml:space="preserve">The assistant quoted "PHP 0" to a client. The prompt is handed the raw price and told never to quote any other figure, and every treatment seeds at 0.00 until the spa hands over its rate card - so the model faithfully told a client a 30-minute treatment costs nothing.</t>
  </si>
  <si>
    <t xml:space="preserve">Found by probe P3, which was testing something else entirely. Zero is the ABSENCE of a price, not a price of nothing. money() in chat-build-context.js now renders it as "price not on file - the client settles at the counter", and rule 6 forbids saying a treatment is free. priceLabel() had done this in the browser for weeks; the string the MODEL reads was never fixed. VERIFIED both branches: PHP 500 for a priced treatment, "not on file" for Suob.</t>
  </si>
  <si>
    <t xml:space="preserve">B88</t>
  </si>
  <si>
    <t xml:space="preserve">The assistant told clients "we do not offer acupuncture here at HilotSpa". The establishment trades as Knead Wellness Spa - the branches, the sidebar and every booking confirmation already say so, so a client got a confirmation from one business and a conversation from another.</t>
  </si>
  <si>
    <t xml:space="preserve">Found by probe P3. HilotSpa is the name of the SYSTEM, not the business. The system prompt was the last place still using it. This is SS A3 / R10 surfacing somewhere new - fixed to match the rest of the running system, which does not pre-empt the adviser: if they pick the other convention everything changes together.</t>
  </si>
  <si>
    <t xml:space="preserve">B89</t>
  </si>
  <si>
    <t xml:space="preserve">AssistantServiceImpl.bookableSlots()</t>
  </si>
  <si>
    <t xml:space="preserve">The agent could only ever discuss ONE morning. availability() returns the whole 7-day window in chronological order, and bookableSlots() took the first 8 per service - which is 9:00 to 12:30 on the earliest open day and nothing else all week. Asked about 1 or 2 September, the agent replied that the treatment was "not available" then. That was FALSE: the times existed, they were cut off before the agent saw them.</t>
  </si>
  <si>
    <t xml:space="preserve">Found by Liodoq testing dates two and three days out. The cap was not the fault - the ORDER was. spread() now takes the earliest time on EVERY open day before any day gets a second, then adds a middle-of-day time nearest-first, so mornings and afternoons across the whole window are both offered. SLOTS_PER_SERVICE 8 -&gt; 14, derived as SLOT_DAYS * SLOTS_PER_DAY so widening the window cannot silently starve the later days again. Also prompt rule 18: AVAILABLE TIMES is not every date the spa is open, so the agent must say it can only see the next few days rather than assert unavailability it cannot know. Directly serves the Scope bullet "Analyzing available time, dates, and resources".</t>
  </si>
  <si>
    <t xml:space="preserve">B90</t>
  </si>
  <si>
    <t xml:space="preserve">pages/book (C9)</t>
  </si>
  <si>
    <t xml:space="preserve">Reaching /book without a formId was a dead end. Home's "book again" and the session report both navigate to /book with no query parameter; the assistant then refused, and repeated the same refusal when the client replied "I have pre assessment, access my previous assessment". There was no way forward from the screen.</t>
  </si>
  <si>
    <t xml:space="preserve">Reported by Liodoq with a screenshot of exactly that exchange. /book now loads the client history on arrival and offers the 60-day reuse copy in place - one tap calls POST /forms/{id}/reuse, sets the formId, rewrites the query string and runs the recommendation - or offers the short form when there is nothing recent. Typing a message with no assessment now points at the same offer instead of repeating the refusal.</t>
  </si>
  <si>
    <t xml:space="preserve">B91</t>
  </si>
  <si>
    <t xml:space="preserve">AssistantServiceImpl / n8n chat prompt</t>
  </si>
  <si>
    <t xml:space="preserve">The agent told a client "the Signature Massage is not available at 3:00 PM on Thursday". It could not know that. After the B89 fix the agent sees two times a day per treatment - a SAMPLE - and the prompt header called it "the complete and only bookable set", so a time missing from the sample was reported as taken. Same class of error as B89, one level down: days were fixed, hours were not.</t>
  </si>
  <si>
    <t xml:space="preserve">Two changes. (1) DEPTH ON DEMAND: ChatRequest now carries focusServiceId, and the service the conversation has narrowed to is sent at FULL calendar resolution while the rest stay sampled - so the request does not grow with the length of the menu, and the one treatment being discussed can be answered about precisely. The tap path derives the service from the slotId prefix and expands it too, otherwise a visible, tappable time could be missing from the recomputed sample and the tap would fail as "just gone" while the room was free. (2) HONESTY: ChatToN8n carries completeFor, and prompt rules 19/20 are generated from it - the agent may only assert an hour is taken when it was told that calendar is complete; otherwise it says it cannot see that hour and offers the nearest. The header no longer claims the list is the complete calendar, only the complete BOOKABLE set.</t>
  </si>
  <si>
    <t xml:space="preserve">B92</t>
  </si>
  <si>
    <t xml:space="preserve">booking.store.ts toLog() / session-report (C11)</t>
  </si>
  <si>
    <t xml:space="preserve">A client's past-session record shows no room - and no therapist, branch, service or duration either. The history list is built from GET /forms alone, so toLog() has nothing to fill them with and hardcodes 'Pre-assessment', 0 minutes and three em-dashes. Appointment already carries a form FK and the Booking DTO already carries room; nothing joins the two on the READ path, so a finished visit reads as an assessment with the visit missing.</t>
  </si>
  <si>
    <t xml:space="preserve">Spotted by Liodoq. NOT a data loss - the room is stored, assigned by assign() and shown correctly on the booking screens, the home card and the C9 confirmation. It is only the session report that cannot see it. Fix: AppointmentRepository has no findByFormId; add one, carry the latest non-cancelled appointment on FormsModel, and let toLog() read it. Watch for one form to many appointments - a client can book twice off one assessment, so take the latest. This screen is also where painScoreBefore/After is read, so it is the Chapter IV outcome surface: it should show the visit, not just the form. | Fixed 2026-08-30.</t>
  </si>
  <si>
    <t xml:space="preserve">HilotSpa — Defense Risk Register</t>
  </si>
  <si>
    <t xml:space="preserve">The paper cannot be edited. These are the contradictions a panelist may find, and how the BUILD resolves each one.</t>
  </si>
  <si>
    <t xml:space="preserve">Area</t>
  </si>
  <si>
    <t xml:space="preserve">Risk / Contradiction in the frozen paper</t>
  </si>
  <si>
    <t xml:space="preserve">Engineered resolution</t>
  </si>
  <si>
    <t xml:space="preserve">Where it lands</t>
  </si>
  <si>
    <t xml:space="preserve">R1</t>
  </si>
  <si>
    <t xml:space="preserve">Architecture</t>
  </si>
  <si>
    <t xml:space="preserve">Offline survival (NFR#1) and guaranteed no double-booking (Process Rule #4) are contradictory under CAP.</t>
  </si>
  <si>
    <t xml:space="preserve">Partition write authority by physical resource ownership. A therapist/room belongs to exactly one branch, so cross-branch conflict cannot exist. Each node is sole writer for its own resources; peers hold read-only replicas.</t>
  </si>
  <si>
    <t xml:space="preserve">Sprint 3.4</t>
  </si>
  <si>
    <t xml:space="preserve">R2</t>
  </si>
  <si>
    <t xml:space="preserve">Requirements</t>
  </si>
  <si>
    <t xml:space="preserve">Process Rule #2 locks the chatbot until pre-assessment completes, but Significance promises leisure clients can bypass the forms.</t>
  </si>
  <si>
    <t xml:space="preserve">First screen forks: 'I have pain' vs 'I'm here to relax'. The leisure path still WRITES a completed assessment record in one tap. The gate is on completion, not length.</t>
  </si>
  <si>
    <t xml:space="preserve">Sprint 1.4</t>
  </si>
  <si>
    <t xml:space="preserve">Resolved</t>
  </si>
  <si>
    <t xml:space="preserve">R3</t>
  </si>
  <si>
    <t xml:space="preserve">AI Integrity</t>
  </si>
  <si>
    <t xml:space="preserve">Paper claims n8n is a 'strict filtering layer' preventing hallucinated medical advice. n8n is an orchestrator and does no such thing by itself.</t>
  </si>
  <si>
    <t xml:space="preserve">Give n8n three concrete jobs: (1) assemble prompt from DB only, (2) constrained structured output where serviceId is an enum of real catalog IDs, (3) post-validate against the catalog and reject anything else. VERIFIED LIVE: n8n drops any serviceId Spring did not send, then Java re-validates independently. rejectedCount is written to audit_log per call, so the discard rate is a query rather than a claim.</t>
  </si>
  <si>
    <t xml:space="preserve">Sprint 2.3</t>
  </si>
  <si>
    <t xml:space="preserve">R4</t>
  </si>
  <si>
    <t xml:space="preserve">Ethics / Scope</t>
  </si>
  <si>
    <t xml:space="preserve">Process Rule #3 excludes contraindicated services, but the Delimitation says no medical advice. Excluding a service on health grounds IS a clinical decision.</t>
  </si>
  <si>
    <t xml:space="preserve">Contraindication rules authored and signed off by the spa's bone setter, stored in a DB table, applied in Java BEFORE the AI is called. Put the signed table in the appendix.</t>
  </si>
  <si>
    <t xml:space="preserve">Sprint 2.4</t>
  </si>
  <si>
    <t xml:space="preserve">R5</t>
  </si>
  <si>
    <t xml:space="preserve">Evaluation</t>
  </si>
  <si>
    <t xml:space="preserve">Research locale names only one branch, but the decentralization claim needs at least two nodes.</t>
  </si>
  <si>
    <t xml:space="preserve">Run a second node on a laptop or VM on the same LAN. Demo sync by physically unplugging the network. Rehearse it.</t>
  </si>
  <si>
    <t xml:space="preserve">Sprint 3.10</t>
  </si>
  <si>
    <t xml:space="preserve">R6</t>
  </si>
  <si>
    <t xml:space="preserve">Objective 4 says evaluate 'AI reliability', but CUQ measures perceived usability, not reliability.</t>
  </si>
  <si>
    <t xml:space="preserve">Add an objective measure to the Technical &amp; Operational Checklist: agreement rate between the AI recommendation and a therapist's blind independent recommendation over &gt;=30 trials, plus 0 out-of-catalog outputs.</t>
  </si>
  <si>
    <t xml:space="preserve">Sprint 4.4</t>
  </si>
  <si>
    <t xml:space="preserve">R7</t>
  </si>
  <si>
    <t xml:space="preserve">Scope</t>
  </si>
  <si>
    <t xml:space="preserve">Significance promises owners can monitor revenue, but the Delimitation excludes payment processing.</t>
  </si>
  <si>
    <t xml:space="preserve">Appointment snapshots the service price at booking. Staff mark PAID_AT_COUNTER. Revenue = sum of completed appointments. No payment processing involved.</t>
  </si>
  <si>
    <t xml:space="preserve">Sprint 0.5</t>
  </si>
  <si>
    <t xml:space="preserve">R8</t>
  </si>
  <si>
    <t xml:space="preserve">Presentation</t>
  </si>
  <si>
    <t xml:space="preserve">Figures 8.1 and 8.2 are both captioned 'Sprint 2'. Two tables are both numbered as Gap Analysis but the TOC lists one. References [12] and [34] are the same paper.</t>
  </si>
  <si>
    <t xml:space="preserve">Cosmetic. Fix if the adviser still permits caption-level edits; otherwise be ready to acknowledge it.</t>
  </si>
  <si>
    <t xml:space="preserve">Paper</t>
  </si>
  <si>
    <t xml:space="preserve">R9</t>
  </si>
  <si>
    <t xml:space="preserve">Appendix A has two halves. The bottom half is the bone setter own working sheet - spine chart C1-L5, the ADJUSTMENTS grid, the findings table. None of it is digitised, and a panelist who has seen the form will ask where it went.</t>
  </si>
  <si>
    <t xml:space="preserve">State the boundary explicitly: the system digitises the client-completed portion. S4 covers the findings table and BEFORE/AFTER pain; the adjustment record stays on paper for this study.</t>
  </si>
  <si>
    <t xml:space="preserve">Paper Ch.3 + S4</t>
  </si>
  <si>
    <t xml:space="preserve">R10</t>
  </si>
  <si>
    <t xml:space="preserve">The establishment trades as Knead Wellness Spa. The paper, the signed permission letter, and the running UI each use a different name.</t>
  </si>
  <si>
    <t xml:space="preserve">Adviser picks one convention. Safer option: registered name with a parenthetical on first mention.</t>
  </si>
  <si>
    <t xml:space="preserve">Paper SS A3</t>
  </si>
  <si>
    <t xml:space="preserve">R11</t>
  </si>
  <si>
    <t xml:space="preserve">Ethics</t>
  </si>
  <si>
    <t xml:space="preserve">A researcher shares a surname with the owners. Undisclosed, this looks like concealment; disclosed, it is routine.</t>
  </si>
  <si>
    <t xml:space="preserve">One sentence in the Research Locale section, plus the bias controls already in place (clock-time-only observation, practitioner-signed protocol).</t>
  </si>
  <si>
    <t xml:space="preserve">Paper SS A4</t>
  </si>
  <si>
    <t xml:space="preserve">R12</t>
  </si>
  <si>
    <t xml:space="preserve">Schema is built by ddl-auto=update. On a decentralised system each branch runs its own Postgres, and "Hibernate will work it out on each node" is not a migration strategy.</t>
  </si>
  <si>
    <t xml:space="preserve">Flyway baseline migration before any second node exists.</t>
  </si>
  <si>
    <t xml:space="preserve">Sprint 0.7</t>
  </si>
  <si>
    <t xml:space="preserve">R13</t>
  </si>
  <si>
    <t xml:space="preserve">The pre-implementation baseline still has not been collected, and the digital intake now works. Once it is in use at the counter the manual process cannot be observed.</t>
  </si>
  <si>
    <t xml:space="preserve">Do the timing study before deployment, or state honestly in Ch.4 that the 10-15 minute figure is borrowed from literature.</t>
  </si>
  <si>
    <t xml:space="preserve">Sprint 4.1</t>
  </si>
  <si>
    <t xml:space="preserve">R14</t>
  </si>
  <si>
    <t xml:space="preserve">Service detail pages are a 23rd screen. The paper inventory names 22, derived from Figures 2 and 3.1-3.3.</t>
  </si>
  <si>
    <t xml:space="preserve">Either add it as C8a with a one-line justification, or fold the detail view into C8 as an expanding panel so the count holds.</t>
  </si>
  <si>
    <t xml:space="preserve">Paper Ch.3</t>
  </si>
  <si>
    <t xml:space="preserve">R15</t>
  </si>
  <si>
    <t xml:space="preserve">AI reliability</t>
  </si>
  <si>
    <t xml:space="preserve">The conversational assistant returns free text. Unlike the recommendation path, a reply cannot be structurally validated - there is no id to check against an allow-list.</t>
  </si>
  <si>
    <t xml:space="preserve">Mitigations are stated openly instead of hidden: a constrained system prompt built from DB values only, NO tools attached to the agent, no write access of any kind, and a fixed refusal script for red-flag symptoms. Backed by the Sprint 2.15 adversarial test screenshots.</t>
  </si>
  <si>
    <t xml:space="preserve">Sprint 2.13</t>
  </si>
  <si>
    <t xml:space="preserve">R16</t>
  </si>
  <si>
    <t xml:space="preserve">Data privacy</t>
  </si>
  <si>
    <t xml:space="preserve">Sending a named client's pain map, pain scores and medical history to an LLM tier whose terms permit human review and training would contradict the consent form and the Data Privacy Act of 2012.</t>
  </si>
  <si>
    <t xml:space="preserve">Vertex AI on Google Cloud terms instead of the AI Studio free tier: not used for training, no human review, region pinned to asia-southeast1. Cite the data-governance page in Ch.3.</t>
  </si>
  <si>
    <t xml:space="preserve">Sprint 2.14</t>
  </si>
  <si>
    <t xml:space="preserve">R17</t>
  </si>
  <si>
    <t xml:space="preserve">AI safety</t>
  </si>
  <si>
    <t xml:space="preserve">An assistant that can book is an assistant that can double-book, invent a time, or treat its own suggestion as the client's agreement. A model cannot hold a database lock, so Process Rule #4 cannot be enforced anywhere the model writes.</t>
  </si>
  <si>
    <t xml:space="preserve">The model only ever proposes, and only from a closed slot list Spring computed. Every slotId is validated against that list; an unknown one drops the proposal AND the sentence that described it. The write happens in Spring inside a transaction that re-checks availability. As of 2026-08-26 there is also a confirm path that does not touch the model at all: the client taps a time and Spring books it by id. The conversational route still works and is still what the paper describes - it is simply no longer the only way to finish.</t>
  </si>
  <si>
    <t xml:space="preserve">Sprint 2.18-2.21, 2.30</t>
  </si>
  <si>
    <t xml:space="preserve">R18</t>
  </si>
  <si>
    <t xml:space="preserve">AI safety / SS D3</t>
  </si>
  <si>
    <t xml:space="preserve">The contraindication filter currently excludes NOTHING. There are zero CONTRAINDICATED rows, so every screen honestly reports 10 of 10 services allowed and 0 excluded. A panellist watching the SS D3 demonstration sees a safety layer that lets everything through.</t>
  </si>
  <si>
    <t xml:space="preserve">The mechanism is built, tested and visible - what is missing is the clinical content, which only the practitioner can author. Thirty minutes with him, using the CSV that Admin &gt; Config exports, turns "the filter works" into "the filter works and here is what it stopped". Until then, say plainly that the rules are pending sign-off rather than demonstrating an empty filter.</t>
  </si>
  <si>
    <t xml:space="preserve">Sprint 4.13</t>
  </si>
  <si>
    <t xml:space="preserve">R19</t>
  </si>
  <si>
    <t xml:space="preserve">Architecture / Evaluation</t>
  </si>
  <si>
    <t xml:space="preserve">Sprint 3 runtime is at 0% with approval a week away. There will be no sync log, node registry, gossip or second node, and a mocked one is worse than none.</t>
  </si>
  <si>
    <t xml:space="preserve">Defend what is already true and already enforced: a therapist and a room belong to exactly one branch, therefore only that branch can book them, therefore two nodes can never award the same slot - no consensus algorithm is required. Decentralisation is presented as a proven design property with the multi-node runtime as future work. Needs the adviser to agree BEFORE the defence, not during it.</t>
  </si>
  <si>
    <t xml:space="preserve">Sprint 3.15</t>
  </si>
</sst>
</file>

<file path=xl/styles.xml><?xml version="1.0" encoding="utf-8"?>
<styleSheet xmlns="http://schemas.openxmlformats.org/spreadsheetml/2006/main">
  <numFmts count="2">
    <numFmt numFmtId="164" formatCode="General"/>
    <numFmt numFmtId="165" formatCode="0.0%"/>
  </numFmts>
  <fonts count="9">
    <font>
      <sz val="11"/>
      <color theme="1"/>
      <name val="Calibri"/>
      <family val="2"/>
      <charset val="1"/>
    </font>
    <font>
      <sz val="10"/>
      <name val="Arial"/>
      <family val="0"/>
    </font>
    <font>
      <sz val="10"/>
      <name val="Arial"/>
      <family val="0"/>
    </font>
    <font>
      <sz val="10"/>
      <name val="Arial"/>
      <family val="0"/>
    </font>
    <font>
      <b val="true"/>
      <sz val="14"/>
      <color rgb="FF1F4E5F"/>
      <name val="Arial"/>
      <family val="0"/>
      <charset val="1"/>
    </font>
    <font>
      <i val="true"/>
      <sz val="9"/>
      <color rgb="FF666666"/>
      <name val="Arial"/>
      <family val="0"/>
      <charset val="1"/>
    </font>
    <font>
      <b val="true"/>
      <sz val="11"/>
      <color rgb="FFFFFFFF"/>
      <name val="Arial"/>
      <family val="0"/>
      <charset val="1"/>
    </font>
    <font>
      <b val="true"/>
      <sz val="10"/>
      <name val="Arial"/>
      <family val="0"/>
      <charset val="1"/>
    </font>
    <font>
      <sz val="10"/>
      <name val="Arial"/>
      <family val="0"/>
      <charset val="1"/>
    </font>
  </fonts>
  <fills count="4">
    <fill>
      <patternFill patternType="none"/>
    </fill>
    <fill>
      <patternFill patternType="gray125"/>
    </fill>
    <fill>
      <patternFill patternType="solid">
        <fgColor rgb="FF1F4E5F"/>
        <bgColor rgb="FF333333"/>
      </patternFill>
    </fill>
    <fill>
      <patternFill patternType="solid">
        <fgColor rgb="FFDCE9EF"/>
        <bgColor rgb="FFC6EFCE"/>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5" fontId="8" fillId="0"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5" fontId="7" fillId="3"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8" fillId="3" borderId="1" xfId="0" applyFont="true" applyBorder="true" applyAlignment="true" applyProtection="false">
      <alignment horizontal="center" vertical="center" textRotation="0" wrapText="fals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4E5F"/>
          <bgColor rgb="FF000000"/>
        </patternFill>
      </fill>
    </dxf>
    <dxf>
      <fill>
        <patternFill patternType="solid">
          <fgColor rgb="FFDCE9EF"/>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9C6500"/>
          <bgColor rgb="FF000000"/>
        </patternFill>
      </fill>
    </dxf>
    <dxf>
      <font>
        <name val="Arial"/>
        <charset val="1"/>
        <family val="0"/>
        <color rgb="FF006100"/>
        <sz val="10"/>
      </font>
      <fill>
        <patternFill>
          <bgColor rgb="FFC6EFCE"/>
        </patternFill>
      </fill>
    </dxf>
    <dxf>
      <font>
        <name val="Arial"/>
        <charset val="1"/>
        <family val="0"/>
        <color rgb="FF9C6500"/>
        <sz val="10"/>
      </font>
      <fill>
        <patternFill>
          <bgColor rgb="FFFFEB9C"/>
        </patternFill>
      </fill>
    </dxf>
    <dxf>
      <font>
        <name val="Arial"/>
        <charset val="1"/>
        <family val="0"/>
        <color rgb="FF9C0006"/>
        <sz val="10"/>
      </font>
      <fill>
        <patternFill>
          <bgColor rgb="FFFFC7CE"/>
        </patternFill>
      </fill>
    </dxf>
    <dxf>
      <fill>
        <patternFill patternType="solid">
          <fgColor rgb="FFFFC7CE"/>
          <bgColor rgb="FF000000"/>
        </patternFill>
      </fill>
    </dxf>
    <dxf>
      <fill>
        <patternFill patternType="solid">
          <fgColor rgb="FF9C0006"/>
          <bgColor rgb="FF000000"/>
        </patternFill>
      </fill>
    </dxf>
    <dxf>
      <font>
        <name val="Arial"/>
        <charset val="1"/>
        <family val="0"/>
        <b val="1"/>
        <color rgb="FF9C0006"/>
        <sz val="10"/>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9C6500"/>
      <rgbColor rgb="FF800080"/>
      <rgbColor rgb="FF008080"/>
      <rgbColor rgb="FFBFBFBF"/>
      <rgbColor rgb="FF808080"/>
      <rgbColor rgb="FF9999FF"/>
      <rgbColor rgb="FF993366"/>
      <rgbColor rgb="FFFFFFCC"/>
      <rgbColor rgb="FFDCE9E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66"/>
      <rgbColor rgb="FF969696"/>
      <rgbColor rgb="FF1F4E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8"/>
    <col collapsed="false" customWidth="true" hidden="false" outlineLevel="0" max="7" min="2" style="1" width="14"/>
  </cols>
  <sheetData>
    <row r="1" customFormat="false" ht="17.2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t="s">
        <v>2</v>
      </c>
      <c r="B4" s="4" t="s">
        <v>3</v>
      </c>
      <c r="C4" s="4" t="s">
        <v>4</v>
      </c>
      <c r="D4" s="4" t="s">
        <v>5</v>
      </c>
      <c r="E4" s="4" t="s">
        <v>6</v>
      </c>
      <c r="F4" s="4" t="s">
        <v>7</v>
      </c>
      <c r="G4" s="4" t="s">
        <v>8</v>
      </c>
    </row>
    <row r="5" customFormat="false" ht="15" hidden="false" customHeight="true" outlineLevel="0" collapsed="false">
      <c r="A5" s="5" t="s">
        <v>9</v>
      </c>
      <c r="B5" s="6" t="n">
        <f aca="false">COUNTIF(Tasks!$A$5:$A$110,$A5)</f>
        <v>19</v>
      </c>
      <c r="C5" s="6" t="n">
        <f aca="false">COUNTIFS(Tasks!$A$5:$A$110,$A5,Tasks!$E$5:$E$110,"Done")</f>
        <v>17</v>
      </c>
      <c r="D5" s="6" t="n">
        <f aca="false">COUNTIFS(Tasks!$A$5:$A$110,$A5,Tasks!$E$5:$E$110,"In Progress")</f>
        <v>0</v>
      </c>
      <c r="E5" s="6" t="n">
        <f aca="false">COUNTIFS(Tasks!$A$5:$A$110,$A5,Tasks!$E$5:$E$110,"Not Started")</f>
        <v>2</v>
      </c>
      <c r="F5" s="6" t="n">
        <f aca="false">COUNTIFS(Tasks!$A$5:$A$110,$A5,Tasks!$E$5:$E$110,"Blocked")</f>
        <v>0</v>
      </c>
      <c r="G5" s="7" t="n">
        <f aca="false">IFERROR($C5/$B5,0)</f>
        <v>0.894736842105263</v>
      </c>
    </row>
    <row r="6" customFormat="false" ht="15" hidden="false" customHeight="true" outlineLevel="0" collapsed="false">
      <c r="A6" s="5" t="s">
        <v>10</v>
      </c>
      <c r="B6" s="6" t="n">
        <f aca="false">COUNTIF(Tasks!$A$5:$A$110,$A6)</f>
        <v>20</v>
      </c>
      <c r="C6" s="6" t="n">
        <f aca="false">COUNTIFS(Tasks!$A$5:$A$110,$A6,Tasks!$E$5:$E$110,"Done")</f>
        <v>20</v>
      </c>
      <c r="D6" s="6" t="n">
        <f aca="false">COUNTIFS(Tasks!$A$5:$A$110,$A6,Tasks!$E$5:$E$110,"In Progress")</f>
        <v>0</v>
      </c>
      <c r="E6" s="6" t="n">
        <f aca="false">COUNTIFS(Tasks!$A$5:$A$110,$A6,Tasks!$E$5:$E$110,"Not Started")</f>
        <v>0</v>
      </c>
      <c r="F6" s="6" t="n">
        <f aca="false">COUNTIFS(Tasks!$A$5:$A$110,$A6,Tasks!$E$5:$E$110,"Blocked")</f>
        <v>0</v>
      </c>
      <c r="G6" s="7" t="n">
        <f aca="false">IFERROR($C6/$B6,0)</f>
        <v>1</v>
      </c>
    </row>
    <row r="7" customFormat="false" ht="15" hidden="false" customHeight="true" outlineLevel="0" collapsed="false">
      <c r="A7" s="5" t="s">
        <v>11</v>
      </c>
      <c r="B7" s="6" t="n">
        <f aca="false">COUNTIF(Tasks!$A$5:$A$110,$A7)</f>
        <v>39</v>
      </c>
      <c r="C7" s="6" t="n">
        <f aca="false">COUNTIFS(Tasks!$A$5:$A$110,$A7,Tasks!$E$5:$E$110,"Done")</f>
        <v>34</v>
      </c>
      <c r="D7" s="6" t="n">
        <f aca="false">COUNTIFS(Tasks!$A$5:$A$110,$A7,Tasks!$E$5:$E$110,"In Progress")</f>
        <v>3</v>
      </c>
      <c r="E7" s="6" t="n">
        <f aca="false">COUNTIFS(Tasks!$A$5:$A$110,$A7,Tasks!$E$5:$E$110,"Not Started")</f>
        <v>2</v>
      </c>
      <c r="F7" s="6" t="n">
        <f aca="false">COUNTIFS(Tasks!$A$5:$A$110,$A7,Tasks!$E$5:$E$110,"Blocked")</f>
        <v>0</v>
      </c>
      <c r="G7" s="7" t="n">
        <f aca="false">IFERROR($C7/$B7,0)</f>
        <v>0.871794871794872</v>
      </c>
    </row>
    <row r="8" customFormat="false" ht="15" hidden="false" customHeight="true" outlineLevel="0" collapsed="false">
      <c r="A8" s="5" t="s">
        <v>12</v>
      </c>
      <c r="B8" s="6" t="n">
        <f aca="false">COUNTIF(Tasks!$A$5:$A$110,$A8)</f>
        <v>15</v>
      </c>
      <c r="C8" s="6" t="n">
        <f aca="false">COUNTIFS(Tasks!$A$5:$A$110,$A8,Tasks!$E$5:$E$110,"Done")</f>
        <v>4</v>
      </c>
      <c r="D8" s="6" t="n">
        <f aca="false">COUNTIFS(Tasks!$A$5:$A$110,$A8,Tasks!$E$5:$E$110,"In Progress")</f>
        <v>5</v>
      </c>
      <c r="E8" s="6" t="n">
        <f aca="false">COUNTIFS(Tasks!$A$5:$A$110,$A8,Tasks!$E$5:$E$110,"Not Started")</f>
        <v>6</v>
      </c>
      <c r="F8" s="6" t="n">
        <f aca="false">COUNTIFS(Tasks!$A$5:$A$110,$A8,Tasks!$E$5:$E$110,"Blocked")</f>
        <v>0</v>
      </c>
      <c r="G8" s="7" t="n">
        <f aca="false">IFERROR($C8/$B8,0)</f>
        <v>0.266666666666667</v>
      </c>
    </row>
    <row r="9" customFormat="false" ht="15" hidden="false" customHeight="true" outlineLevel="0" collapsed="false">
      <c r="A9" s="5" t="s">
        <v>13</v>
      </c>
      <c r="B9" s="6" t="n">
        <f aca="false">COUNTIF(Tasks!$A$5:$A$110,$A9)</f>
        <v>13</v>
      </c>
      <c r="C9" s="6" t="n">
        <f aca="false">COUNTIFS(Tasks!$A$5:$A$110,$A9,Tasks!$E$5:$E$110,"Done")</f>
        <v>1</v>
      </c>
      <c r="D9" s="6" t="n">
        <f aca="false">COUNTIFS(Tasks!$A$5:$A$110,$A9,Tasks!$E$5:$E$110,"In Progress")</f>
        <v>1</v>
      </c>
      <c r="E9" s="6" t="n">
        <f aca="false">COUNTIFS(Tasks!$A$5:$A$110,$A9,Tasks!$E$5:$E$110,"Not Started")</f>
        <v>11</v>
      </c>
      <c r="F9" s="6" t="n">
        <f aca="false">COUNTIFS(Tasks!$A$5:$A$110,$A9,Tasks!$E$5:$E$110,"Blocked")</f>
        <v>0</v>
      </c>
      <c r="G9" s="7" t="n">
        <f aca="false">IFERROR($C9/$B9,0)</f>
        <v>0.0769230769230769</v>
      </c>
    </row>
    <row r="10" customFormat="false" ht="15" hidden="false" customHeight="true" outlineLevel="0" collapsed="false">
      <c r="A10" s="8" t="s">
        <v>14</v>
      </c>
      <c r="B10" s="9" t="n">
        <f aca="false">SUM(B5:B9)</f>
        <v>106</v>
      </c>
      <c r="C10" s="9" t="n">
        <f aca="false">SUM(C5:C9)</f>
        <v>76</v>
      </c>
      <c r="D10" s="9" t="n">
        <f aca="false">SUM(D5:D9)</f>
        <v>9</v>
      </c>
      <c r="E10" s="9" t="n">
        <f aca="false">SUM(E5:E9)</f>
        <v>21</v>
      </c>
      <c r="F10" s="9" t="n">
        <f aca="false">SUM(F5:F9)</f>
        <v>0</v>
      </c>
      <c r="G10" s="10" t="n">
        <f aca="false">IFERROR($C10/$B10,0)</f>
        <v>0.716981132075472</v>
      </c>
    </row>
    <row r="12" customFormat="false" ht="15" hidden="false" customHeight="true" outlineLevel="0" collapsed="false">
      <c r="A12" s="11" t="s">
        <v>15</v>
      </c>
      <c r="B12" s="12" t="n">
        <f aca="false">COUNTIF(Bugs!$F:$F,"Open")</f>
        <v>8</v>
      </c>
    </row>
    <row r="13" customFormat="false" ht="15" hidden="false" customHeight="true" outlineLevel="0" collapsed="false">
      <c r="A13" s="11" t="s">
        <v>16</v>
      </c>
      <c r="B13" s="12" t="n">
        <f aca="false">COUNTIFS(Bugs!$F:$F,"Open",Bugs!$E:$E,"Critical")</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11"/>
    <col collapsed="false" customWidth="true" hidden="false" outlineLevel="0" max="2" min="2" style="1" width="7"/>
    <col collapsed="false" customWidth="true" hidden="false" outlineLevel="0" max="3" min="3" style="1" width="40"/>
    <col collapsed="false" customWidth="true" hidden="false" outlineLevel="0" max="4" min="4" style="1" width="62"/>
    <col collapsed="false" customWidth="true" hidden="false" outlineLevel="0" max="5" min="5" style="1" width="14"/>
    <col collapsed="false" customWidth="true" hidden="false" outlineLevel="0" max="6" min="6" style="1" width="10"/>
    <col collapsed="false" customWidth="true" hidden="false" outlineLevel="0" max="7" min="7" style="1" width="52"/>
  </cols>
  <sheetData>
    <row r="1" customFormat="false" ht="17.25" hidden="false" customHeight="true" outlineLevel="0" collapsed="false">
      <c r="A1" s="2" t="s">
        <v>17</v>
      </c>
    </row>
    <row r="2" customFormat="false" ht="15" hidden="false" customHeight="true" outlineLevel="0" collapsed="false">
      <c r="A2" s="3" t="s">
        <v>18</v>
      </c>
    </row>
    <row r="4" customFormat="false" ht="15" hidden="false" customHeight="true" outlineLevel="0" collapsed="false">
      <c r="A4" s="4" t="s">
        <v>2</v>
      </c>
      <c r="B4" s="4" t="s">
        <v>19</v>
      </c>
      <c r="C4" s="4" t="s">
        <v>20</v>
      </c>
      <c r="D4" s="4" t="s">
        <v>21</v>
      </c>
      <c r="E4" s="4" t="s">
        <v>22</v>
      </c>
      <c r="F4" s="4" t="s">
        <v>23</v>
      </c>
      <c r="G4" s="4" t="s">
        <v>24</v>
      </c>
    </row>
    <row r="5" customFormat="false" ht="23.25" hidden="false" customHeight="true" outlineLevel="0" collapsed="false">
      <c r="A5" s="9" t="s">
        <v>9</v>
      </c>
      <c r="B5" s="13" t="s">
        <v>25</v>
      </c>
      <c r="C5" s="14" t="s">
        <v>26</v>
      </c>
      <c r="D5" s="14" t="s">
        <v>27</v>
      </c>
      <c r="E5" s="13" t="s">
        <v>4</v>
      </c>
      <c r="F5" s="13" t="s">
        <v>28</v>
      </c>
      <c r="G5" s="14" t="s">
        <v>29</v>
      </c>
    </row>
    <row r="6" customFormat="false" ht="23.25" hidden="false" customHeight="true" outlineLevel="0" collapsed="false">
      <c r="A6" s="15" t="s">
        <v>9</v>
      </c>
      <c r="B6" s="6" t="s">
        <v>30</v>
      </c>
      <c r="C6" s="16" t="s">
        <v>31</v>
      </c>
      <c r="D6" s="16" t="s">
        <v>32</v>
      </c>
      <c r="E6" s="6" t="s">
        <v>4</v>
      </c>
      <c r="F6" s="6" t="s">
        <v>28</v>
      </c>
      <c r="G6" s="16" t="s">
        <v>33</v>
      </c>
    </row>
    <row r="7" customFormat="false" ht="23.25" hidden="false" customHeight="true" outlineLevel="0" collapsed="false">
      <c r="A7" s="15" t="s">
        <v>9</v>
      </c>
      <c r="B7" s="6" t="s">
        <v>34</v>
      </c>
      <c r="C7" s="16" t="s">
        <v>35</v>
      </c>
      <c r="D7" s="16" t="s">
        <v>36</v>
      </c>
      <c r="E7" s="6" t="s">
        <v>4</v>
      </c>
      <c r="F7" s="6" t="s">
        <v>37</v>
      </c>
      <c r="G7" s="16" t="s">
        <v>38</v>
      </c>
    </row>
    <row r="8" customFormat="false" ht="23.25" hidden="false" customHeight="true" outlineLevel="0" collapsed="false">
      <c r="A8" s="15" t="s">
        <v>9</v>
      </c>
      <c r="B8" s="6" t="s">
        <v>39</v>
      </c>
      <c r="C8" s="16" t="s">
        <v>40</v>
      </c>
      <c r="D8" s="16" t="s">
        <v>41</v>
      </c>
      <c r="E8" s="6" t="s">
        <v>4</v>
      </c>
      <c r="F8" s="6" t="s">
        <v>28</v>
      </c>
      <c r="G8" s="16" t="s">
        <v>42</v>
      </c>
    </row>
    <row r="9" customFormat="false" ht="15" hidden="false" customHeight="true" outlineLevel="0" collapsed="false">
      <c r="A9" s="15" t="s">
        <v>9</v>
      </c>
      <c r="B9" s="6" t="s">
        <v>43</v>
      </c>
      <c r="C9" s="16" t="s">
        <v>44</v>
      </c>
      <c r="D9" s="16" t="s">
        <v>45</v>
      </c>
      <c r="E9" s="6" t="s">
        <v>4</v>
      </c>
      <c r="F9" s="6" t="s">
        <v>28</v>
      </c>
      <c r="G9" s="16" t="s">
        <v>46</v>
      </c>
    </row>
    <row r="10" customFormat="false" ht="23.25" hidden="false" customHeight="true" outlineLevel="0" collapsed="false">
      <c r="A10" s="15" t="s">
        <v>9</v>
      </c>
      <c r="B10" s="6" t="s">
        <v>47</v>
      </c>
      <c r="C10" s="16" t="s">
        <v>48</v>
      </c>
      <c r="D10" s="16" t="s">
        <v>49</v>
      </c>
      <c r="E10" s="6" t="s">
        <v>4</v>
      </c>
      <c r="F10" s="6" t="s">
        <v>50</v>
      </c>
      <c r="G10" s="16" t="s">
        <v>51</v>
      </c>
    </row>
    <row r="11" customFormat="false" ht="23.25" hidden="false" customHeight="true" outlineLevel="0" collapsed="false">
      <c r="A11" s="15" t="s">
        <v>9</v>
      </c>
      <c r="B11" s="6" t="s">
        <v>52</v>
      </c>
      <c r="C11" s="16" t="s">
        <v>53</v>
      </c>
      <c r="D11" s="16" t="s">
        <v>54</v>
      </c>
      <c r="E11" s="6" t="s">
        <v>4</v>
      </c>
      <c r="F11" s="6" t="s">
        <v>37</v>
      </c>
      <c r="G11" s="16" t="s">
        <v>55</v>
      </c>
    </row>
    <row r="12" customFormat="false" ht="15" hidden="false" customHeight="true" outlineLevel="0" collapsed="false">
      <c r="A12" s="15" t="s">
        <v>9</v>
      </c>
      <c r="B12" s="6" t="s">
        <v>56</v>
      </c>
      <c r="C12" s="16" t="s">
        <v>57</v>
      </c>
      <c r="D12" s="16" t="s">
        <v>58</v>
      </c>
      <c r="E12" s="6" t="s">
        <v>4</v>
      </c>
      <c r="F12" s="6" t="s">
        <v>28</v>
      </c>
      <c r="G12" s="16" t="s">
        <v>59</v>
      </c>
    </row>
    <row r="13" customFormat="false" ht="23.25" hidden="false" customHeight="true" outlineLevel="0" collapsed="false">
      <c r="A13" s="9" t="s">
        <v>10</v>
      </c>
      <c r="B13" s="13" t="s">
        <v>60</v>
      </c>
      <c r="C13" s="14" t="s">
        <v>61</v>
      </c>
      <c r="D13" s="14" t="s">
        <v>62</v>
      </c>
      <c r="E13" s="13" t="s">
        <v>4</v>
      </c>
      <c r="F13" s="13"/>
      <c r="G13" s="14" t="s">
        <v>63</v>
      </c>
    </row>
    <row r="14" customFormat="false" ht="15" hidden="false" customHeight="true" outlineLevel="0" collapsed="false">
      <c r="A14" s="15" t="s">
        <v>10</v>
      </c>
      <c r="B14" s="6" t="s">
        <v>64</v>
      </c>
      <c r="C14" s="16" t="s">
        <v>65</v>
      </c>
      <c r="D14" s="16" t="s">
        <v>66</v>
      </c>
      <c r="E14" s="6" t="s">
        <v>4</v>
      </c>
      <c r="F14" s="6"/>
      <c r="G14" s="16" t="s">
        <v>67</v>
      </c>
    </row>
    <row r="15" customFormat="false" ht="23.25" hidden="false" customHeight="true" outlineLevel="0" collapsed="false">
      <c r="A15" s="15" t="s">
        <v>10</v>
      </c>
      <c r="B15" s="6" t="s">
        <v>68</v>
      </c>
      <c r="C15" s="16" t="s">
        <v>69</v>
      </c>
      <c r="D15" s="16" t="s">
        <v>70</v>
      </c>
      <c r="E15" s="6" t="s">
        <v>4</v>
      </c>
      <c r="F15" s="6"/>
      <c r="G15" s="16" t="s">
        <v>71</v>
      </c>
    </row>
    <row r="16" customFormat="false" ht="23.25" hidden="false" customHeight="true" outlineLevel="0" collapsed="false">
      <c r="A16" s="15" t="s">
        <v>10</v>
      </c>
      <c r="B16" s="6" t="s">
        <v>72</v>
      </c>
      <c r="C16" s="16" t="s">
        <v>73</v>
      </c>
      <c r="D16" s="16" t="s">
        <v>74</v>
      </c>
      <c r="E16" s="6" t="s">
        <v>4</v>
      </c>
      <c r="F16" s="6"/>
      <c r="G16" s="16" t="s">
        <v>75</v>
      </c>
    </row>
    <row r="17" customFormat="false" ht="23.25" hidden="false" customHeight="true" outlineLevel="0" collapsed="false">
      <c r="A17" s="15" t="s">
        <v>10</v>
      </c>
      <c r="B17" s="6" t="s">
        <v>76</v>
      </c>
      <c r="C17" s="16" t="s">
        <v>77</v>
      </c>
      <c r="D17" s="16" t="s">
        <v>78</v>
      </c>
      <c r="E17" s="6" t="s">
        <v>4</v>
      </c>
      <c r="F17" s="6"/>
      <c r="G17" s="16" t="s">
        <v>79</v>
      </c>
    </row>
    <row r="18" customFormat="false" ht="15" hidden="false" customHeight="true" outlineLevel="0" collapsed="false">
      <c r="A18" s="15" t="s">
        <v>10</v>
      </c>
      <c r="B18" s="6" t="s">
        <v>80</v>
      </c>
      <c r="C18" s="16" t="s">
        <v>81</v>
      </c>
      <c r="D18" s="16" t="s">
        <v>82</v>
      </c>
      <c r="E18" s="6" t="s">
        <v>4</v>
      </c>
      <c r="F18" s="6"/>
      <c r="G18" s="16" t="s">
        <v>83</v>
      </c>
    </row>
    <row r="19" customFormat="false" ht="15" hidden="false" customHeight="true" outlineLevel="0" collapsed="false">
      <c r="A19" s="15" t="s">
        <v>10</v>
      </c>
      <c r="B19" s="6" t="s">
        <v>84</v>
      </c>
      <c r="C19" s="16" t="s">
        <v>85</v>
      </c>
      <c r="D19" s="16" t="s">
        <v>86</v>
      </c>
      <c r="E19" s="6" t="s">
        <v>4</v>
      </c>
      <c r="F19" s="6"/>
      <c r="G19" s="16" t="s">
        <v>87</v>
      </c>
    </row>
    <row r="20" customFormat="false" ht="15" hidden="false" customHeight="true" outlineLevel="0" collapsed="false">
      <c r="A20" s="9" t="s">
        <v>11</v>
      </c>
      <c r="B20" s="13" t="s">
        <v>88</v>
      </c>
      <c r="C20" s="14" t="s">
        <v>89</v>
      </c>
      <c r="D20" s="14" t="s">
        <v>90</v>
      </c>
      <c r="E20" s="13" t="s">
        <v>6</v>
      </c>
      <c r="F20" s="13"/>
      <c r="G20" s="14" t="s">
        <v>91</v>
      </c>
    </row>
    <row r="21" customFormat="false" ht="15" hidden="false" customHeight="true" outlineLevel="0" collapsed="false">
      <c r="A21" s="15" t="s">
        <v>11</v>
      </c>
      <c r="B21" s="6" t="s">
        <v>92</v>
      </c>
      <c r="C21" s="16" t="s">
        <v>93</v>
      </c>
      <c r="D21" s="16" t="s">
        <v>94</v>
      </c>
      <c r="E21" s="6" t="s">
        <v>4</v>
      </c>
      <c r="F21" s="6"/>
      <c r="G21" s="16" t="s">
        <v>95</v>
      </c>
    </row>
    <row r="22" customFormat="false" ht="23.25" hidden="false" customHeight="true" outlineLevel="0" collapsed="false">
      <c r="A22" s="15" t="s">
        <v>11</v>
      </c>
      <c r="B22" s="6" t="s">
        <v>96</v>
      </c>
      <c r="C22" s="16" t="s">
        <v>97</v>
      </c>
      <c r="D22" s="16" t="s">
        <v>98</v>
      </c>
      <c r="E22" s="6" t="s">
        <v>4</v>
      </c>
      <c r="F22" s="6"/>
      <c r="G22" s="16" t="s">
        <v>99</v>
      </c>
    </row>
    <row r="23" customFormat="false" ht="23.25" hidden="false" customHeight="true" outlineLevel="0" collapsed="false">
      <c r="A23" s="15" t="s">
        <v>11</v>
      </c>
      <c r="B23" s="6" t="s">
        <v>100</v>
      </c>
      <c r="C23" s="16" t="s">
        <v>101</v>
      </c>
      <c r="D23" s="16" t="s">
        <v>102</v>
      </c>
      <c r="E23" s="6" t="s">
        <v>4</v>
      </c>
      <c r="F23" s="6"/>
      <c r="G23" s="16" t="s">
        <v>103</v>
      </c>
    </row>
    <row r="24" customFormat="false" ht="15" hidden="false" customHeight="true" outlineLevel="0" collapsed="false">
      <c r="A24" s="15" t="s">
        <v>11</v>
      </c>
      <c r="B24" s="6" t="s">
        <v>104</v>
      </c>
      <c r="C24" s="16" t="s">
        <v>105</v>
      </c>
      <c r="D24" s="16" t="s">
        <v>106</v>
      </c>
      <c r="E24" s="6" t="s">
        <v>4</v>
      </c>
      <c r="F24" s="6"/>
      <c r="G24" s="16" t="s">
        <v>107</v>
      </c>
    </row>
    <row r="25" customFormat="false" ht="15" hidden="false" customHeight="true" outlineLevel="0" collapsed="false">
      <c r="A25" s="15" t="s">
        <v>11</v>
      </c>
      <c r="B25" s="6" t="s">
        <v>108</v>
      </c>
      <c r="C25" s="16" t="s">
        <v>109</v>
      </c>
      <c r="D25" s="16" t="s">
        <v>110</v>
      </c>
      <c r="E25" s="6" t="s">
        <v>4</v>
      </c>
      <c r="F25" s="6"/>
      <c r="G25" s="16" t="s">
        <v>111</v>
      </c>
    </row>
    <row r="26" customFormat="false" ht="15" hidden="false" customHeight="true" outlineLevel="0" collapsed="false">
      <c r="A26" s="15" t="s">
        <v>11</v>
      </c>
      <c r="B26" s="6" t="s">
        <v>112</v>
      </c>
      <c r="C26" s="16" t="s">
        <v>113</v>
      </c>
      <c r="D26" s="16" t="s">
        <v>114</v>
      </c>
      <c r="E26" s="6" t="s">
        <v>4</v>
      </c>
      <c r="F26" s="6"/>
      <c r="G26" s="16" t="s">
        <v>115</v>
      </c>
    </row>
    <row r="27" customFormat="false" ht="23.25" hidden="false" customHeight="true" outlineLevel="0" collapsed="false">
      <c r="A27" s="15" t="s">
        <v>11</v>
      </c>
      <c r="B27" s="6" t="s">
        <v>116</v>
      </c>
      <c r="C27" s="16" t="s">
        <v>117</v>
      </c>
      <c r="D27" s="16" t="s">
        <v>118</v>
      </c>
      <c r="E27" s="6" t="s">
        <v>4</v>
      </c>
      <c r="F27" s="6"/>
      <c r="G27" s="16" t="s">
        <v>119</v>
      </c>
    </row>
    <row r="28" customFormat="false" ht="23.25" hidden="false" customHeight="true" outlineLevel="0" collapsed="false">
      <c r="A28" s="9" t="s">
        <v>12</v>
      </c>
      <c r="B28" s="13" t="s">
        <v>120</v>
      </c>
      <c r="C28" s="14" t="s">
        <v>121</v>
      </c>
      <c r="D28" s="14" t="s">
        <v>122</v>
      </c>
      <c r="E28" s="13" t="s">
        <v>6</v>
      </c>
      <c r="F28" s="13"/>
      <c r="G28" s="14" t="s">
        <v>123</v>
      </c>
    </row>
    <row r="29" customFormat="false" ht="15" hidden="false" customHeight="true" outlineLevel="0" collapsed="false">
      <c r="A29" s="15" t="s">
        <v>12</v>
      </c>
      <c r="B29" s="6" t="s">
        <v>124</v>
      </c>
      <c r="C29" s="16" t="s">
        <v>125</v>
      </c>
      <c r="D29" s="16" t="s">
        <v>126</v>
      </c>
      <c r="E29" s="6" t="s">
        <v>6</v>
      </c>
      <c r="F29" s="6"/>
      <c r="G29" s="16"/>
    </row>
    <row r="30" customFormat="false" ht="15" hidden="false" customHeight="true" outlineLevel="0" collapsed="false">
      <c r="A30" s="15" t="s">
        <v>12</v>
      </c>
      <c r="B30" s="6" t="s">
        <v>127</v>
      </c>
      <c r="C30" s="16" t="s">
        <v>128</v>
      </c>
      <c r="D30" s="16" t="s">
        <v>129</v>
      </c>
      <c r="E30" s="6" t="s">
        <v>6</v>
      </c>
      <c r="F30" s="6"/>
      <c r="G30" s="16" t="s">
        <v>130</v>
      </c>
    </row>
    <row r="31" customFormat="false" ht="23.25" hidden="false" customHeight="true" outlineLevel="0" collapsed="false">
      <c r="A31" s="15" t="s">
        <v>12</v>
      </c>
      <c r="B31" s="6" t="s">
        <v>131</v>
      </c>
      <c r="C31" s="16" t="s">
        <v>132</v>
      </c>
      <c r="D31" s="16" t="s">
        <v>133</v>
      </c>
      <c r="E31" s="6" t="s">
        <v>6</v>
      </c>
      <c r="F31" s="6"/>
      <c r="G31" s="16" t="s">
        <v>134</v>
      </c>
    </row>
    <row r="32" customFormat="false" ht="15" hidden="false" customHeight="true" outlineLevel="0" collapsed="false">
      <c r="A32" s="15" t="s">
        <v>12</v>
      </c>
      <c r="B32" s="6" t="s">
        <v>135</v>
      </c>
      <c r="C32" s="16" t="s">
        <v>136</v>
      </c>
      <c r="D32" s="16" t="s">
        <v>137</v>
      </c>
      <c r="E32" s="6" t="s">
        <v>5</v>
      </c>
      <c r="F32" s="6"/>
      <c r="G32" s="16" t="s">
        <v>138</v>
      </c>
    </row>
    <row r="33" customFormat="false" ht="15" hidden="false" customHeight="true" outlineLevel="0" collapsed="false">
      <c r="A33" s="15" t="s">
        <v>12</v>
      </c>
      <c r="B33" s="6" t="s">
        <v>139</v>
      </c>
      <c r="C33" s="16" t="s">
        <v>140</v>
      </c>
      <c r="D33" s="16" t="s">
        <v>141</v>
      </c>
      <c r="E33" s="6" t="s">
        <v>5</v>
      </c>
      <c r="F33" s="6"/>
      <c r="G33" s="16" t="s">
        <v>142</v>
      </c>
    </row>
    <row r="34" customFormat="false" ht="23.25" hidden="false" customHeight="true" outlineLevel="0" collapsed="false">
      <c r="A34" s="15" t="s">
        <v>12</v>
      </c>
      <c r="B34" s="6" t="s">
        <v>143</v>
      </c>
      <c r="C34" s="16" t="s">
        <v>144</v>
      </c>
      <c r="D34" s="16" t="s">
        <v>145</v>
      </c>
      <c r="E34" s="6" t="s">
        <v>4</v>
      </c>
      <c r="F34" s="6"/>
      <c r="G34" s="16" t="s">
        <v>146</v>
      </c>
    </row>
    <row r="35" customFormat="false" ht="15" hidden="false" customHeight="true" outlineLevel="0" collapsed="false">
      <c r="A35" s="15" t="s">
        <v>12</v>
      </c>
      <c r="B35" s="6" t="s">
        <v>147</v>
      </c>
      <c r="C35" s="16" t="s">
        <v>148</v>
      </c>
      <c r="D35" s="16" t="s">
        <v>149</v>
      </c>
      <c r="E35" s="6" t="s">
        <v>5</v>
      </c>
      <c r="F35" s="6"/>
      <c r="G35" s="16" t="s">
        <v>150</v>
      </c>
    </row>
    <row r="36" customFormat="false" ht="15" hidden="false" customHeight="true" outlineLevel="0" collapsed="false">
      <c r="A36" s="15" t="s">
        <v>12</v>
      </c>
      <c r="B36" s="6" t="s">
        <v>151</v>
      </c>
      <c r="C36" s="16" t="s">
        <v>152</v>
      </c>
      <c r="D36" s="16" t="s">
        <v>153</v>
      </c>
      <c r="E36" s="6" t="s">
        <v>4</v>
      </c>
      <c r="F36" s="6"/>
      <c r="G36" s="16" t="s">
        <v>154</v>
      </c>
    </row>
    <row r="37" customFormat="false" ht="23.25" hidden="false" customHeight="true" outlineLevel="0" collapsed="false">
      <c r="A37" s="15" t="s">
        <v>12</v>
      </c>
      <c r="B37" s="6" t="s">
        <v>155</v>
      </c>
      <c r="C37" s="16" t="s">
        <v>156</v>
      </c>
      <c r="D37" s="16" t="s">
        <v>157</v>
      </c>
      <c r="E37" s="6" t="s">
        <v>6</v>
      </c>
      <c r="F37" s="6"/>
      <c r="G37" s="16" t="s">
        <v>158</v>
      </c>
    </row>
    <row r="38" customFormat="false" ht="15" hidden="false" customHeight="true" outlineLevel="0" collapsed="false">
      <c r="A38" s="9" t="s">
        <v>13</v>
      </c>
      <c r="B38" s="13" t="s">
        <v>159</v>
      </c>
      <c r="C38" s="14" t="s">
        <v>160</v>
      </c>
      <c r="D38" s="14" t="s">
        <v>161</v>
      </c>
      <c r="E38" s="13" t="s">
        <v>6</v>
      </c>
      <c r="F38" s="13"/>
      <c r="G38" s="14" t="s">
        <v>162</v>
      </c>
    </row>
    <row r="39" customFormat="false" ht="23.25" hidden="false" customHeight="true" outlineLevel="0" collapsed="false">
      <c r="A39" s="15" t="s">
        <v>13</v>
      </c>
      <c r="B39" s="6" t="s">
        <v>163</v>
      </c>
      <c r="C39" s="16" t="s">
        <v>164</v>
      </c>
      <c r="D39" s="16" t="s">
        <v>165</v>
      </c>
      <c r="E39" s="6" t="s">
        <v>6</v>
      </c>
      <c r="F39" s="6"/>
      <c r="G39" s="16"/>
    </row>
    <row r="40" customFormat="false" ht="23.25" hidden="false" customHeight="true" outlineLevel="0" collapsed="false">
      <c r="A40" s="15" t="s">
        <v>13</v>
      </c>
      <c r="B40" s="6" t="s">
        <v>166</v>
      </c>
      <c r="C40" s="16" t="s">
        <v>167</v>
      </c>
      <c r="D40" s="16" t="s">
        <v>168</v>
      </c>
      <c r="E40" s="6" t="s">
        <v>6</v>
      </c>
      <c r="F40" s="6"/>
      <c r="G40" s="16" t="s">
        <v>169</v>
      </c>
    </row>
    <row r="41" customFormat="false" ht="23.25" hidden="false" customHeight="true" outlineLevel="0" collapsed="false">
      <c r="A41" s="15" t="s">
        <v>13</v>
      </c>
      <c r="B41" s="6" t="s">
        <v>170</v>
      </c>
      <c r="C41" s="16" t="s">
        <v>171</v>
      </c>
      <c r="D41" s="16" t="s">
        <v>172</v>
      </c>
      <c r="E41" s="6" t="s">
        <v>6</v>
      </c>
      <c r="F41" s="6"/>
      <c r="G41" s="16" t="s">
        <v>173</v>
      </c>
    </row>
    <row r="42" customFormat="false" ht="15" hidden="false" customHeight="true" outlineLevel="0" collapsed="false">
      <c r="A42" s="15" t="s">
        <v>13</v>
      </c>
      <c r="B42" s="6" t="s">
        <v>174</v>
      </c>
      <c r="C42" s="16" t="s">
        <v>175</v>
      </c>
      <c r="D42" s="16" t="s">
        <v>176</v>
      </c>
      <c r="E42" s="6" t="s">
        <v>6</v>
      </c>
      <c r="F42" s="6"/>
      <c r="G42" s="16"/>
    </row>
    <row r="43" customFormat="false" ht="15" hidden="false" customHeight="true" outlineLevel="0" collapsed="false">
      <c r="A43" s="15" t="s">
        <v>13</v>
      </c>
      <c r="B43" s="6" t="s">
        <v>177</v>
      </c>
      <c r="C43" s="16" t="s">
        <v>178</v>
      </c>
      <c r="D43" s="16" t="s">
        <v>179</v>
      </c>
      <c r="E43" s="6" t="s">
        <v>6</v>
      </c>
      <c r="F43" s="6"/>
      <c r="G43" s="16"/>
    </row>
    <row r="44" customFormat="false" ht="15" hidden="false" customHeight="true" outlineLevel="0" collapsed="false">
      <c r="A44" s="15" t="s">
        <v>13</v>
      </c>
      <c r="B44" s="6" t="s">
        <v>180</v>
      </c>
      <c r="C44" s="16" t="s">
        <v>181</v>
      </c>
      <c r="D44" s="16" t="s">
        <v>182</v>
      </c>
      <c r="E44" s="6" t="s">
        <v>6</v>
      </c>
      <c r="F44" s="6"/>
      <c r="G44" s="16"/>
    </row>
    <row r="45" customFormat="false" ht="23.25" hidden="false" customHeight="true" outlineLevel="0" collapsed="false">
      <c r="A45" s="17" t="s">
        <v>9</v>
      </c>
      <c r="B45" s="18" t="s">
        <v>183</v>
      </c>
      <c r="C45" s="14" t="s">
        <v>184</v>
      </c>
      <c r="D45" s="14" t="s">
        <v>185</v>
      </c>
      <c r="E45" s="18" t="s">
        <v>4</v>
      </c>
      <c r="F45" s="18" t="s">
        <v>28</v>
      </c>
      <c r="G45" s="14" t="s">
        <v>186</v>
      </c>
    </row>
    <row r="46" customFormat="false" ht="23.25" hidden="false" customHeight="true" outlineLevel="0" collapsed="false">
      <c r="A46" s="17" t="s">
        <v>10</v>
      </c>
      <c r="B46" s="18" t="s">
        <v>187</v>
      </c>
      <c r="C46" s="14" t="s">
        <v>188</v>
      </c>
      <c r="D46" s="14" t="s">
        <v>189</v>
      </c>
      <c r="E46" s="18" t="s">
        <v>4</v>
      </c>
      <c r="F46" s="18" t="s">
        <v>37</v>
      </c>
      <c r="G46" s="14" t="s">
        <v>190</v>
      </c>
    </row>
    <row r="47" customFormat="false" ht="23.25" hidden="false" customHeight="true" outlineLevel="0" collapsed="false">
      <c r="A47" s="17" t="s">
        <v>10</v>
      </c>
      <c r="B47" s="18" t="s">
        <v>191</v>
      </c>
      <c r="C47" s="14" t="s">
        <v>192</v>
      </c>
      <c r="D47" s="14" t="s">
        <v>193</v>
      </c>
      <c r="E47" s="18" t="s">
        <v>4</v>
      </c>
      <c r="F47" s="18" t="s">
        <v>37</v>
      </c>
      <c r="G47" s="14" t="s">
        <v>194</v>
      </c>
    </row>
    <row r="48" customFormat="false" ht="23.25" hidden="false" customHeight="true" outlineLevel="0" collapsed="false">
      <c r="A48" s="17" t="s">
        <v>10</v>
      </c>
      <c r="B48" s="18" t="s">
        <v>195</v>
      </c>
      <c r="C48" s="14" t="s">
        <v>196</v>
      </c>
      <c r="D48" s="14" t="s">
        <v>197</v>
      </c>
      <c r="E48" s="18" t="s">
        <v>4</v>
      </c>
      <c r="F48" s="18" t="s">
        <v>37</v>
      </c>
      <c r="G48" s="14" t="s">
        <v>198</v>
      </c>
    </row>
    <row r="49" customFormat="false" ht="15" hidden="false" customHeight="true" outlineLevel="0" collapsed="false">
      <c r="A49" s="17" t="s">
        <v>10</v>
      </c>
      <c r="B49" s="18" t="s">
        <v>199</v>
      </c>
      <c r="C49" s="14" t="s">
        <v>200</v>
      </c>
      <c r="D49" s="14" t="s">
        <v>201</v>
      </c>
      <c r="E49" s="18" t="s">
        <v>4</v>
      </c>
      <c r="F49" s="18" t="s">
        <v>28</v>
      </c>
      <c r="G49" s="14" t="s">
        <v>202</v>
      </c>
    </row>
    <row r="50" customFormat="false" ht="23.25" hidden="false" customHeight="true" outlineLevel="0" collapsed="false">
      <c r="A50" s="17" t="s">
        <v>11</v>
      </c>
      <c r="B50" s="18" t="s">
        <v>203</v>
      </c>
      <c r="C50" s="14" t="s">
        <v>204</v>
      </c>
      <c r="D50" s="14" t="s">
        <v>205</v>
      </c>
      <c r="E50" s="18" t="s">
        <v>4</v>
      </c>
      <c r="F50" s="18" t="s">
        <v>37</v>
      </c>
      <c r="G50" s="14" t="s">
        <v>206</v>
      </c>
    </row>
    <row r="51" customFormat="false" ht="15" hidden="false" customHeight="true" outlineLevel="0" collapsed="false">
      <c r="A51" s="17" t="s">
        <v>12</v>
      </c>
      <c r="B51" s="18" t="s">
        <v>207</v>
      </c>
      <c r="C51" s="14" t="s">
        <v>208</v>
      </c>
      <c r="D51" s="14" t="s">
        <v>209</v>
      </c>
      <c r="E51" s="18" t="s">
        <v>5</v>
      </c>
      <c r="F51" s="18" t="s">
        <v>37</v>
      </c>
      <c r="G51" s="14" t="s">
        <v>210</v>
      </c>
    </row>
    <row r="52" customFormat="false" ht="15" hidden="false" customHeight="true" outlineLevel="0" collapsed="false">
      <c r="A52" s="17" t="s">
        <v>12</v>
      </c>
      <c r="B52" s="18" t="s">
        <v>211</v>
      </c>
      <c r="C52" s="14" t="s">
        <v>212</v>
      </c>
      <c r="D52" s="14" t="s">
        <v>213</v>
      </c>
      <c r="E52" s="18" t="s">
        <v>4</v>
      </c>
      <c r="F52" s="18" t="s">
        <v>37</v>
      </c>
      <c r="G52" s="14" t="s">
        <v>214</v>
      </c>
    </row>
    <row r="53" customFormat="false" ht="23.25" hidden="false" customHeight="true" outlineLevel="0" collapsed="false">
      <c r="A53" s="17" t="s">
        <v>13</v>
      </c>
      <c r="B53" s="18" t="s">
        <v>215</v>
      </c>
      <c r="C53" s="14" t="s">
        <v>216</v>
      </c>
      <c r="D53" s="14" t="s">
        <v>217</v>
      </c>
      <c r="E53" s="18" t="s">
        <v>4</v>
      </c>
      <c r="F53" s="18" t="s">
        <v>28</v>
      </c>
      <c r="G53" s="14" t="s">
        <v>218</v>
      </c>
    </row>
    <row r="54" customFormat="false" ht="23.25" hidden="false" customHeight="true" outlineLevel="0" collapsed="false">
      <c r="A54" s="17" t="s">
        <v>13</v>
      </c>
      <c r="B54" s="18" t="s">
        <v>219</v>
      </c>
      <c r="C54" s="14" t="s">
        <v>220</v>
      </c>
      <c r="D54" s="14" t="s">
        <v>221</v>
      </c>
      <c r="E54" s="18" t="s">
        <v>6</v>
      </c>
      <c r="F54" s="18" t="s">
        <v>28</v>
      </c>
      <c r="G54" s="14" t="s">
        <v>222</v>
      </c>
    </row>
    <row r="55" customFormat="false" ht="23.25" hidden="false" customHeight="true" outlineLevel="0" collapsed="false">
      <c r="A55" s="17" t="s">
        <v>13</v>
      </c>
      <c r="B55" s="18" t="s">
        <v>223</v>
      </c>
      <c r="C55" s="14" t="s">
        <v>224</v>
      </c>
      <c r="D55" s="14" t="s">
        <v>225</v>
      </c>
      <c r="E55" s="18" t="s">
        <v>6</v>
      </c>
      <c r="F55" s="18" t="s">
        <v>28</v>
      </c>
      <c r="G55" s="14" t="s">
        <v>226</v>
      </c>
    </row>
    <row r="56" customFormat="false" ht="23.25" hidden="false" customHeight="true" outlineLevel="0" collapsed="false">
      <c r="A56" s="17" t="s">
        <v>13</v>
      </c>
      <c r="B56" s="18" t="s">
        <v>227</v>
      </c>
      <c r="C56" s="14" t="s">
        <v>228</v>
      </c>
      <c r="D56" s="14" t="s">
        <v>229</v>
      </c>
      <c r="E56" s="18" t="s">
        <v>6</v>
      </c>
      <c r="F56" s="18" t="s">
        <v>28</v>
      </c>
      <c r="G56" s="14" t="s">
        <v>230</v>
      </c>
    </row>
    <row r="57" customFormat="false" ht="23.25" hidden="false" customHeight="true" outlineLevel="0" collapsed="false">
      <c r="A57" s="17" t="s">
        <v>9</v>
      </c>
      <c r="B57" s="18" t="s">
        <v>231</v>
      </c>
      <c r="C57" s="14" t="s">
        <v>232</v>
      </c>
      <c r="D57" s="14" t="s">
        <v>233</v>
      </c>
      <c r="E57" s="18" t="s">
        <v>4</v>
      </c>
      <c r="F57" s="18" t="s">
        <v>37</v>
      </c>
      <c r="G57" s="14" t="s">
        <v>234</v>
      </c>
    </row>
    <row r="58" customFormat="false" ht="23.25" hidden="false" customHeight="true" outlineLevel="0" collapsed="false">
      <c r="A58" s="17" t="s">
        <v>10</v>
      </c>
      <c r="B58" s="18" t="s">
        <v>235</v>
      </c>
      <c r="C58" s="14" t="s">
        <v>236</v>
      </c>
      <c r="D58" s="14" t="s">
        <v>237</v>
      </c>
      <c r="E58" s="18" t="s">
        <v>4</v>
      </c>
      <c r="F58" s="18" t="s">
        <v>37</v>
      </c>
      <c r="G58" s="14" t="s">
        <v>238</v>
      </c>
    </row>
    <row r="59" customFormat="false" ht="34.5" hidden="false" customHeight="true" outlineLevel="0" collapsed="false">
      <c r="A59" s="17" t="s">
        <v>10</v>
      </c>
      <c r="B59" s="18" t="s">
        <v>239</v>
      </c>
      <c r="C59" s="14" t="s">
        <v>240</v>
      </c>
      <c r="D59" s="14" t="s">
        <v>241</v>
      </c>
      <c r="E59" s="18" t="s">
        <v>4</v>
      </c>
      <c r="F59" s="18" t="s">
        <v>37</v>
      </c>
      <c r="G59" s="14" t="s">
        <v>242</v>
      </c>
    </row>
    <row r="60" customFormat="false" ht="23.25" hidden="false" customHeight="true" outlineLevel="0" collapsed="false">
      <c r="A60" s="17" t="s">
        <v>10</v>
      </c>
      <c r="B60" s="18" t="s">
        <v>243</v>
      </c>
      <c r="C60" s="14" t="s">
        <v>244</v>
      </c>
      <c r="D60" s="14" t="s">
        <v>245</v>
      </c>
      <c r="E60" s="18" t="s">
        <v>4</v>
      </c>
      <c r="F60" s="18" t="s">
        <v>37</v>
      </c>
      <c r="G60" s="14" t="s">
        <v>246</v>
      </c>
    </row>
    <row r="61" customFormat="false" ht="23.25" hidden="false" customHeight="true" outlineLevel="0" collapsed="false">
      <c r="A61" s="17" t="s">
        <v>11</v>
      </c>
      <c r="B61" s="18" t="s">
        <v>247</v>
      </c>
      <c r="C61" s="14" t="s">
        <v>248</v>
      </c>
      <c r="D61" s="14" t="s">
        <v>249</v>
      </c>
      <c r="E61" s="18" t="s">
        <v>4</v>
      </c>
      <c r="F61" s="18" t="s">
        <v>37</v>
      </c>
      <c r="G61" s="14" t="s">
        <v>250</v>
      </c>
    </row>
    <row r="62" customFormat="false" ht="34.5" hidden="false" customHeight="true" outlineLevel="0" collapsed="false">
      <c r="A62" s="17" t="s">
        <v>9</v>
      </c>
      <c r="B62" s="18" t="s">
        <v>251</v>
      </c>
      <c r="C62" s="14" t="s">
        <v>252</v>
      </c>
      <c r="D62" s="14" t="s">
        <v>253</v>
      </c>
      <c r="E62" s="18" t="s">
        <v>4</v>
      </c>
      <c r="F62" s="18" t="s">
        <v>37</v>
      </c>
      <c r="G62" s="14" t="s">
        <v>254</v>
      </c>
    </row>
    <row r="63" customFormat="false" ht="23.25" hidden="false" customHeight="true" outlineLevel="0" collapsed="false">
      <c r="A63" s="17" t="s">
        <v>9</v>
      </c>
      <c r="B63" s="18" t="s">
        <v>255</v>
      </c>
      <c r="C63" s="14" t="s">
        <v>256</v>
      </c>
      <c r="D63" s="14" t="s">
        <v>257</v>
      </c>
      <c r="E63" s="18" t="s">
        <v>4</v>
      </c>
      <c r="F63" s="18" t="s">
        <v>37</v>
      </c>
      <c r="G63" s="14" t="s">
        <v>258</v>
      </c>
    </row>
    <row r="64" customFormat="false" ht="23.25" hidden="false" customHeight="true" outlineLevel="0" collapsed="false">
      <c r="A64" s="17" t="s">
        <v>9</v>
      </c>
      <c r="B64" s="18" t="s">
        <v>259</v>
      </c>
      <c r="C64" s="14" t="s">
        <v>260</v>
      </c>
      <c r="D64" s="14" t="s">
        <v>261</v>
      </c>
      <c r="E64" s="18" t="s">
        <v>6</v>
      </c>
      <c r="F64" s="18" t="s">
        <v>28</v>
      </c>
      <c r="G64" s="14" t="s">
        <v>262</v>
      </c>
    </row>
    <row r="65" customFormat="false" ht="34.5" hidden="false" customHeight="true" outlineLevel="0" collapsed="false">
      <c r="A65" s="17" t="s">
        <v>11</v>
      </c>
      <c r="B65" s="18" t="s">
        <v>263</v>
      </c>
      <c r="C65" s="14" t="s">
        <v>264</v>
      </c>
      <c r="D65" s="14" t="s">
        <v>265</v>
      </c>
      <c r="E65" s="18" t="s">
        <v>4</v>
      </c>
      <c r="F65" s="18" t="s">
        <v>37</v>
      </c>
      <c r="G65" s="14" t="s">
        <v>266</v>
      </c>
    </row>
    <row r="66" customFormat="false" ht="34.5" hidden="false" customHeight="true" outlineLevel="0" collapsed="false">
      <c r="A66" s="17" t="s">
        <v>11</v>
      </c>
      <c r="B66" s="18" t="s">
        <v>267</v>
      </c>
      <c r="C66" s="14" t="s">
        <v>268</v>
      </c>
      <c r="D66" s="14" t="s">
        <v>269</v>
      </c>
      <c r="E66" s="18" t="s">
        <v>4</v>
      </c>
      <c r="F66" s="18" t="s">
        <v>37</v>
      </c>
      <c r="G66" s="14" t="s">
        <v>270</v>
      </c>
    </row>
    <row r="67" customFormat="false" ht="23.25" hidden="false" customHeight="true" outlineLevel="0" collapsed="false">
      <c r="A67" s="17" t="s">
        <v>11</v>
      </c>
      <c r="B67" s="18" t="s">
        <v>271</v>
      </c>
      <c r="C67" s="14" t="s">
        <v>272</v>
      </c>
      <c r="D67" s="14" t="s">
        <v>273</v>
      </c>
      <c r="E67" s="18" t="s">
        <v>5</v>
      </c>
      <c r="F67" s="18" t="s">
        <v>37</v>
      </c>
      <c r="G67" s="14" t="s">
        <v>274</v>
      </c>
    </row>
    <row r="68" customFormat="false" ht="23.25" hidden="false" customHeight="true" outlineLevel="0" collapsed="false">
      <c r="A68" s="17" t="s">
        <v>11</v>
      </c>
      <c r="B68" s="18" t="s">
        <v>275</v>
      </c>
      <c r="C68" s="14" t="s">
        <v>276</v>
      </c>
      <c r="D68" s="14" t="s">
        <v>277</v>
      </c>
      <c r="E68" s="18" t="s">
        <v>4</v>
      </c>
      <c r="F68" s="18" t="s">
        <v>28</v>
      </c>
      <c r="G68" s="14" t="s">
        <v>278</v>
      </c>
    </row>
    <row r="69" customFormat="false" ht="23.25" hidden="false" customHeight="true" outlineLevel="0" collapsed="false">
      <c r="A69" s="17" t="s">
        <v>11</v>
      </c>
      <c r="B69" s="18" t="s">
        <v>279</v>
      </c>
      <c r="C69" s="14" t="s">
        <v>280</v>
      </c>
      <c r="D69" s="14" t="s">
        <v>281</v>
      </c>
      <c r="E69" s="18" t="s">
        <v>4</v>
      </c>
      <c r="F69" s="18" t="s">
        <v>28</v>
      </c>
      <c r="G69" s="14" t="s">
        <v>282</v>
      </c>
    </row>
    <row r="70" customFormat="false" ht="23.25" hidden="false" customHeight="true" outlineLevel="0" collapsed="false">
      <c r="A70" s="17" t="s">
        <v>11</v>
      </c>
      <c r="B70" s="18" t="s">
        <v>283</v>
      </c>
      <c r="C70" s="14" t="s">
        <v>284</v>
      </c>
      <c r="D70" s="14" t="s">
        <v>285</v>
      </c>
      <c r="E70" s="18" t="s">
        <v>4</v>
      </c>
      <c r="F70" s="18" t="s">
        <v>37</v>
      </c>
      <c r="G70" s="14" t="s">
        <v>286</v>
      </c>
    </row>
    <row r="71" customFormat="false" ht="23.25" hidden="false" customHeight="true" outlineLevel="0" collapsed="false">
      <c r="A71" s="17" t="s">
        <v>11</v>
      </c>
      <c r="B71" s="18" t="s">
        <v>287</v>
      </c>
      <c r="C71" s="14" t="s">
        <v>288</v>
      </c>
      <c r="D71" s="14" t="s">
        <v>289</v>
      </c>
      <c r="E71" s="18" t="s">
        <v>5</v>
      </c>
      <c r="F71" s="18" t="s">
        <v>37</v>
      </c>
      <c r="G71" s="14" t="s">
        <v>290</v>
      </c>
    </row>
    <row r="72" customFormat="false" ht="23.25" hidden="false" customHeight="true" outlineLevel="0" collapsed="false">
      <c r="A72" s="17" t="s">
        <v>11</v>
      </c>
      <c r="B72" s="18" t="s">
        <v>291</v>
      </c>
      <c r="C72" s="14" t="s">
        <v>292</v>
      </c>
      <c r="D72" s="14" t="s">
        <v>293</v>
      </c>
      <c r="E72" s="18" t="s">
        <v>4</v>
      </c>
      <c r="F72" s="18" t="s">
        <v>37</v>
      </c>
      <c r="G72" s="14" t="s">
        <v>294</v>
      </c>
    </row>
    <row r="73" customFormat="false" ht="23.25" hidden="false" customHeight="true" outlineLevel="0" collapsed="false">
      <c r="A73" s="17" t="s">
        <v>11</v>
      </c>
      <c r="B73" s="18" t="s">
        <v>295</v>
      </c>
      <c r="C73" s="14" t="s">
        <v>296</v>
      </c>
      <c r="D73" s="14" t="s">
        <v>297</v>
      </c>
      <c r="E73" s="18" t="s">
        <v>4</v>
      </c>
      <c r="F73" s="18" t="s">
        <v>37</v>
      </c>
      <c r="G73" s="14" t="s">
        <v>298</v>
      </c>
    </row>
    <row r="74" customFormat="false" ht="34.5" hidden="false" customHeight="true" outlineLevel="0" collapsed="false">
      <c r="A74" s="17" t="s">
        <v>11</v>
      </c>
      <c r="B74" s="18" t="s">
        <v>299</v>
      </c>
      <c r="C74" s="14" t="s">
        <v>300</v>
      </c>
      <c r="D74" s="14" t="s">
        <v>301</v>
      </c>
      <c r="E74" s="18" t="s">
        <v>4</v>
      </c>
      <c r="F74" s="18" t="s">
        <v>37</v>
      </c>
      <c r="G74" s="14" t="s">
        <v>302</v>
      </c>
    </row>
    <row r="75" customFormat="false" ht="23.25" hidden="false" customHeight="true" outlineLevel="0" collapsed="false">
      <c r="A75" s="17" t="s">
        <v>11</v>
      </c>
      <c r="B75" s="18" t="s">
        <v>303</v>
      </c>
      <c r="C75" s="14" t="s">
        <v>304</v>
      </c>
      <c r="D75" s="14" t="s">
        <v>305</v>
      </c>
      <c r="E75" s="18" t="s">
        <v>4</v>
      </c>
      <c r="F75" s="18" t="s">
        <v>37</v>
      </c>
      <c r="G75" s="14" t="s">
        <v>306</v>
      </c>
    </row>
    <row r="76" customFormat="false" ht="34.5" hidden="false" customHeight="true" outlineLevel="0" collapsed="false">
      <c r="A76" s="17" t="s">
        <v>9</v>
      </c>
      <c r="B76" s="18" t="s">
        <v>307</v>
      </c>
      <c r="C76" s="14" t="s">
        <v>308</v>
      </c>
      <c r="D76" s="14" t="s">
        <v>309</v>
      </c>
      <c r="E76" s="18" t="s">
        <v>4</v>
      </c>
      <c r="F76" s="18" t="s">
        <v>37</v>
      </c>
      <c r="G76" s="14" t="s">
        <v>310</v>
      </c>
    </row>
    <row r="77" customFormat="false" ht="57" hidden="false" customHeight="true" outlineLevel="0" collapsed="false">
      <c r="A77" s="17" t="s">
        <v>10</v>
      </c>
      <c r="B77" s="18" t="s">
        <v>311</v>
      </c>
      <c r="C77" s="14" t="s">
        <v>312</v>
      </c>
      <c r="D77" s="14" t="s">
        <v>313</v>
      </c>
      <c r="E77" s="18" t="s">
        <v>4</v>
      </c>
      <c r="F77" s="18" t="s">
        <v>28</v>
      </c>
      <c r="G77" s="14" t="s">
        <v>314</v>
      </c>
    </row>
    <row r="78" customFormat="false" ht="23.25" hidden="false" customHeight="true" outlineLevel="0" collapsed="false">
      <c r="A78" s="17" t="s">
        <v>11</v>
      </c>
      <c r="B78" s="18" t="s">
        <v>315</v>
      </c>
      <c r="C78" s="14" t="s">
        <v>316</v>
      </c>
      <c r="D78" s="14" t="s">
        <v>317</v>
      </c>
      <c r="E78" s="18" t="s">
        <v>4</v>
      </c>
      <c r="F78" s="18" t="s">
        <v>37</v>
      </c>
      <c r="G78" s="14" t="s">
        <v>318</v>
      </c>
    </row>
    <row r="79" customFormat="false" ht="23.25" hidden="false" customHeight="true" outlineLevel="0" collapsed="false">
      <c r="A79" s="17" t="s">
        <v>11</v>
      </c>
      <c r="B79" s="18" t="s">
        <v>319</v>
      </c>
      <c r="C79" s="14" t="s">
        <v>320</v>
      </c>
      <c r="D79" s="14" t="s">
        <v>321</v>
      </c>
      <c r="E79" s="18" t="s">
        <v>4</v>
      </c>
      <c r="F79" s="18" t="s">
        <v>37</v>
      </c>
      <c r="G79" s="14" t="s">
        <v>322</v>
      </c>
    </row>
    <row r="80" customFormat="false" ht="23.25" hidden="false" customHeight="true" outlineLevel="0" collapsed="false">
      <c r="A80" s="17" t="s">
        <v>11</v>
      </c>
      <c r="B80" s="18" t="s">
        <v>323</v>
      </c>
      <c r="C80" s="14" t="s">
        <v>324</v>
      </c>
      <c r="D80" s="14" t="s">
        <v>325</v>
      </c>
      <c r="E80" s="18" t="s">
        <v>4</v>
      </c>
      <c r="F80" s="18" t="s">
        <v>37</v>
      </c>
      <c r="G80" s="14" t="s">
        <v>326</v>
      </c>
    </row>
    <row r="81" customFormat="false" ht="23.25" hidden="false" customHeight="true" outlineLevel="0" collapsed="false">
      <c r="A81" s="17" t="s">
        <v>11</v>
      </c>
      <c r="B81" s="18" t="s">
        <v>327</v>
      </c>
      <c r="C81" s="14" t="s">
        <v>328</v>
      </c>
      <c r="D81" s="14" t="s">
        <v>329</v>
      </c>
      <c r="E81" s="18" t="s">
        <v>4</v>
      </c>
      <c r="F81" s="18" t="s">
        <v>37</v>
      </c>
      <c r="G81" s="14" t="s">
        <v>330</v>
      </c>
    </row>
    <row r="82" customFormat="false" ht="23.25" hidden="false" customHeight="true" outlineLevel="0" collapsed="false">
      <c r="A82" s="17" t="s">
        <v>12</v>
      </c>
      <c r="B82" s="18" t="s">
        <v>331</v>
      </c>
      <c r="C82" s="14" t="s">
        <v>332</v>
      </c>
      <c r="D82" s="14" t="s">
        <v>333</v>
      </c>
      <c r="E82" s="18" t="s">
        <v>5</v>
      </c>
      <c r="F82" s="18" t="s">
        <v>37</v>
      </c>
      <c r="G82" s="14" t="s">
        <v>334</v>
      </c>
    </row>
    <row r="83" customFormat="false" ht="34.5" hidden="false" customHeight="true" outlineLevel="0" collapsed="false">
      <c r="A83" s="17" t="s">
        <v>11</v>
      </c>
      <c r="B83" s="18" t="s">
        <v>335</v>
      </c>
      <c r="C83" s="14" t="s">
        <v>336</v>
      </c>
      <c r="D83" s="14" t="s">
        <v>337</v>
      </c>
      <c r="E83" s="18" t="s">
        <v>4</v>
      </c>
      <c r="F83" s="18" t="s">
        <v>37</v>
      </c>
      <c r="G83" s="14" t="s">
        <v>338</v>
      </c>
    </row>
    <row r="84" customFormat="false" ht="23.25" hidden="false" customHeight="true" outlineLevel="0" collapsed="false">
      <c r="A84" s="17" t="s">
        <v>9</v>
      </c>
      <c r="B84" s="18" t="s">
        <v>339</v>
      </c>
      <c r="C84" s="14" t="s">
        <v>340</v>
      </c>
      <c r="D84" s="14" t="s">
        <v>341</v>
      </c>
      <c r="E84" s="18" t="s">
        <v>6</v>
      </c>
      <c r="F84" s="18" t="s">
        <v>28</v>
      </c>
      <c r="G84" s="14" t="s">
        <v>342</v>
      </c>
    </row>
    <row r="85" customFormat="false" ht="34.5" hidden="false" customHeight="true" outlineLevel="0" collapsed="false">
      <c r="A85" s="17" t="s">
        <v>11</v>
      </c>
      <c r="B85" s="18" t="s">
        <v>343</v>
      </c>
      <c r="C85" s="14" t="s">
        <v>344</v>
      </c>
      <c r="D85" s="14" t="s">
        <v>345</v>
      </c>
      <c r="E85" s="18" t="s">
        <v>4</v>
      </c>
      <c r="F85" s="18" t="s">
        <v>37</v>
      </c>
      <c r="G85" s="14" t="s">
        <v>346</v>
      </c>
    </row>
    <row r="86" customFormat="false" ht="45.75" hidden="false" customHeight="true" outlineLevel="0" collapsed="false">
      <c r="A86" s="17" t="s">
        <v>11</v>
      </c>
      <c r="B86" s="18" t="s">
        <v>347</v>
      </c>
      <c r="C86" s="14" t="s">
        <v>348</v>
      </c>
      <c r="D86" s="14" t="s">
        <v>349</v>
      </c>
      <c r="E86" s="18" t="s">
        <v>5</v>
      </c>
      <c r="F86" s="18" t="s">
        <v>28</v>
      </c>
      <c r="G86" s="14" t="s">
        <v>350</v>
      </c>
    </row>
    <row r="87" customFormat="false" ht="45.75" hidden="false" customHeight="true" outlineLevel="0" collapsed="false">
      <c r="A87" s="17" t="s">
        <v>11</v>
      </c>
      <c r="B87" s="18" t="s">
        <v>351</v>
      </c>
      <c r="C87" s="14" t="s">
        <v>352</v>
      </c>
      <c r="D87" s="14" t="s">
        <v>353</v>
      </c>
      <c r="E87" s="18" t="s">
        <v>4</v>
      </c>
      <c r="F87" s="18" t="s">
        <v>37</v>
      </c>
      <c r="G87" s="14" t="s">
        <v>354</v>
      </c>
    </row>
    <row r="88" customFormat="false" ht="23.25" hidden="false" customHeight="true" outlineLevel="0" collapsed="false">
      <c r="A88" s="17" t="s">
        <v>13</v>
      </c>
      <c r="B88" s="18" t="s">
        <v>355</v>
      </c>
      <c r="C88" s="14" t="s">
        <v>356</v>
      </c>
      <c r="D88" s="14" t="s">
        <v>357</v>
      </c>
      <c r="E88" s="18" t="s">
        <v>5</v>
      </c>
      <c r="F88" s="18" t="s">
        <v>28</v>
      </c>
      <c r="G88" s="14" t="s">
        <v>358</v>
      </c>
    </row>
    <row r="89" customFormat="false" ht="34.5" hidden="false" customHeight="true" outlineLevel="0" collapsed="false">
      <c r="A89" s="17" t="s">
        <v>13</v>
      </c>
      <c r="B89" s="18" t="s">
        <v>359</v>
      </c>
      <c r="C89" s="14" t="s">
        <v>360</v>
      </c>
      <c r="D89" s="14" t="s">
        <v>361</v>
      </c>
      <c r="E89" s="18" t="s">
        <v>6</v>
      </c>
      <c r="F89" s="18" t="s">
        <v>28</v>
      </c>
      <c r="G89" s="14" t="s">
        <v>362</v>
      </c>
    </row>
    <row r="90" customFormat="false" ht="90.75" hidden="false" customHeight="true" outlineLevel="0" collapsed="false">
      <c r="A90" s="17" t="s">
        <v>10</v>
      </c>
      <c r="B90" s="18" t="s">
        <v>363</v>
      </c>
      <c r="C90" s="14" t="s">
        <v>364</v>
      </c>
      <c r="D90" s="14" t="s">
        <v>365</v>
      </c>
      <c r="E90" s="18" t="s">
        <v>4</v>
      </c>
      <c r="F90" s="18" t="s">
        <v>37</v>
      </c>
      <c r="G90" s="14" t="s">
        <v>366</v>
      </c>
    </row>
    <row r="91" customFormat="false" ht="79.5" hidden="false" customHeight="true" outlineLevel="0" collapsed="false">
      <c r="A91" s="17" t="s">
        <v>11</v>
      </c>
      <c r="B91" s="18" t="s">
        <v>367</v>
      </c>
      <c r="C91" s="14" t="s">
        <v>368</v>
      </c>
      <c r="D91" s="14" t="s">
        <v>369</v>
      </c>
      <c r="E91" s="18" t="s">
        <v>4</v>
      </c>
      <c r="F91" s="18" t="s">
        <v>37</v>
      </c>
      <c r="G91" s="14" t="s">
        <v>370</v>
      </c>
    </row>
    <row r="92" customFormat="false" ht="34.5" hidden="false" customHeight="true" outlineLevel="0" collapsed="false">
      <c r="A92" s="17" t="s">
        <v>11</v>
      </c>
      <c r="B92" s="18" t="s">
        <v>371</v>
      </c>
      <c r="C92" s="14" t="s">
        <v>372</v>
      </c>
      <c r="D92" s="14" t="s">
        <v>373</v>
      </c>
      <c r="E92" s="18" t="s">
        <v>4</v>
      </c>
      <c r="F92" s="18" t="s">
        <v>37</v>
      </c>
      <c r="G92" s="14" t="s">
        <v>374</v>
      </c>
    </row>
    <row r="93" customFormat="false" ht="45.75" hidden="false" customHeight="true" outlineLevel="0" collapsed="false">
      <c r="A93" s="17" t="s">
        <v>11</v>
      </c>
      <c r="B93" s="18" t="s">
        <v>375</v>
      </c>
      <c r="C93" s="14" t="s">
        <v>376</v>
      </c>
      <c r="D93" s="14" t="s">
        <v>377</v>
      </c>
      <c r="E93" s="18" t="s">
        <v>4</v>
      </c>
      <c r="F93" s="18" t="s">
        <v>37</v>
      </c>
      <c r="G93" s="14" t="s">
        <v>378</v>
      </c>
    </row>
    <row r="94" customFormat="false" ht="68.25" hidden="false" customHeight="true" outlineLevel="0" collapsed="false">
      <c r="A94" s="17" t="s">
        <v>11</v>
      </c>
      <c r="B94" s="18" t="s">
        <v>379</v>
      </c>
      <c r="C94" s="14" t="s">
        <v>380</v>
      </c>
      <c r="D94" s="14" t="s">
        <v>381</v>
      </c>
      <c r="E94" s="18" t="s">
        <v>4</v>
      </c>
      <c r="F94" s="18" t="s">
        <v>50</v>
      </c>
      <c r="G94" s="14" t="s">
        <v>382</v>
      </c>
    </row>
    <row r="95" customFormat="false" ht="57" hidden="false" customHeight="true" outlineLevel="0" collapsed="false">
      <c r="A95" s="17" t="s">
        <v>12</v>
      </c>
      <c r="B95" s="18" t="s">
        <v>383</v>
      </c>
      <c r="C95" s="14" t="s">
        <v>384</v>
      </c>
      <c r="D95" s="14" t="s">
        <v>385</v>
      </c>
      <c r="E95" s="18" t="s">
        <v>4</v>
      </c>
      <c r="F95" s="18" t="s">
        <v>37</v>
      </c>
      <c r="G95" s="14" t="s">
        <v>386</v>
      </c>
    </row>
    <row r="96" customFormat="false" ht="90.75" hidden="false" customHeight="true" outlineLevel="0" collapsed="false">
      <c r="A96" s="17" t="s">
        <v>12</v>
      </c>
      <c r="B96" s="18" t="s">
        <v>387</v>
      </c>
      <c r="C96" s="14" t="s">
        <v>388</v>
      </c>
      <c r="D96" s="14" t="s">
        <v>389</v>
      </c>
      <c r="E96" s="18" t="s">
        <v>6</v>
      </c>
      <c r="F96" s="18" t="s">
        <v>28</v>
      </c>
      <c r="G96" s="14" t="s">
        <v>390</v>
      </c>
    </row>
    <row r="97" customFormat="false" ht="90.75" hidden="false" customHeight="true" outlineLevel="0" collapsed="false">
      <c r="A97" s="17" t="s">
        <v>9</v>
      </c>
      <c r="B97" s="18" t="s">
        <v>391</v>
      </c>
      <c r="C97" s="14" t="s">
        <v>392</v>
      </c>
      <c r="D97" s="14" t="s">
        <v>393</v>
      </c>
      <c r="E97" s="18" t="s">
        <v>4</v>
      </c>
      <c r="F97" s="18" t="s">
        <v>37</v>
      </c>
      <c r="G97" s="14" t="s">
        <v>394</v>
      </c>
    </row>
    <row r="98" customFormat="false" ht="102" hidden="false" customHeight="true" outlineLevel="0" collapsed="false">
      <c r="A98" s="17" t="s">
        <v>9</v>
      </c>
      <c r="B98" s="18" t="s">
        <v>395</v>
      </c>
      <c r="C98" s="14" t="s">
        <v>396</v>
      </c>
      <c r="D98" s="14" t="s">
        <v>397</v>
      </c>
      <c r="E98" s="18" t="s">
        <v>4</v>
      </c>
      <c r="F98" s="18" t="s">
        <v>37</v>
      </c>
      <c r="G98" s="14" t="s">
        <v>398</v>
      </c>
    </row>
    <row r="99" customFormat="false" ht="34.5" hidden="false" customHeight="true" outlineLevel="0" collapsed="false">
      <c r="A99" s="17" t="s">
        <v>9</v>
      </c>
      <c r="B99" s="18" t="s">
        <v>399</v>
      </c>
      <c r="C99" s="14" t="s">
        <v>400</v>
      </c>
      <c r="D99" s="14" t="s">
        <v>401</v>
      </c>
      <c r="E99" s="18" t="s">
        <v>4</v>
      </c>
      <c r="F99" s="18" t="s">
        <v>37</v>
      </c>
      <c r="G99" s="14" t="s">
        <v>402</v>
      </c>
    </row>
    <row r="100" customFormat="false" ht="34.5" hidden="false" customHeight="true" outlineLevel="0" collapsed="false">
      <c r="A100" s="19" t="s">
        <v>11</v>
      </c>
      <c r="B100" s="20" t="s">
        <v>403</v>
      </c>
      <c r="C100" s="16" t="s">
        <v>404</v>
      </c>
      <c r="D100" s="16" t="s">
        <v>405</v>
      </c>
      <c r="E100" s="20" t="s">
        <v>4</v>
      </c>
      <c r="F100" s="20" t="s">
        <v>37</v>
      </c>
      <c r="G100" s="16" t="s">
        <v>406</v>
      </c>
    </row>
    <row r="101" customFormat="false" ht="23.25" hidden="false" customHeight="true" outlineLevel="0" collapsed="false">
      <c r="A101" s="19" t="s">
        <v>11</v>
      </c>
      <c r="B101" s="20" t="s">
        <v>407</v>
      </c>
      <c r="C101" s="16" t="s">
        <v>408</v>
      </c>
      <c r="D101" s="16" t="s">
        <v>409</v>
      </c>
      <c r="E101" s="20" t="s">
        <v>4</v>
      </c>
      <c r="F101" s="20" t="s">
        <v>37</v>
      </c>
      <c r="G101" s="16" t="s">
        <v>410</v>
      </c>
    </row>
    <row r="102" customFormat="false" ht="34.5" hidden="false" customHeight="true" outlineLevel="0" collapsed="false">
      <c r="A102" s="19" t="s">
        <v>11</v>
      </c>
      <c r="B102" s="20" t="s">
        <v>411</v>
      </c>
      <c r="C102" s="16" t="s">
        <v>412</v>
      </c>
      <c r="D102" s="16" t="s">
        <v>413</v>
      </c>
      <c r="E102" s="20" t="s">
        <v>4</v>
      </c>
      <c r="F102" s="20" t="s">
        <v>28</v>
      </c>
      <c r="G102" s="16" t="s">
        <v>414</v>
      </c>
    </row>
    <row r="103" customFormat="false" ht="79.5" hidden="false" customHeight="true" outlineLevel="0" collapsed="false">
      <c r="A103" s="19" t="s">
        <v>11</v>
      </c>
      <c r="B103" s="20" t="s">
        <v>415</v>
      </c>
      <c r="C103" s="16" t="s">
        <v>416</v>
      </c>
      <c r="D103" s="16" t="s">
        <v>417</v>
      </c>
      <c r="E103" s="20" t="s">
        <v>4</v>
      </c>
      <c r="F103" s="20" t="s">
        <v>28</v>
      </c>
      <c r="G103" s="16" t="s">
        <v>418</v>
      </c>
    </row>
    <row r="104" customFormat="false" ht="34.5" hidden="false" customHeight="true" outlineLevel="0" collapsed="false">
      <c r="A104" s="19" t="s">
        <v>11</v>
      </c>
      <c r="B104" s="20" t="s">
        <v>419</v>
      </c>
      <c r="C104" s="16" t="s">
        <v>420</v>
      </c>
      <c r="D104" s="16" t="s">
        <v>421</v>
      </c>
      <c r="E104" s="20" t="s">
        <v>6</v>
      </c>
      <c r="F104" s="20" t="s">
        <v>28</v>
      </c>
      <c r="G104" s="16" t="s">
        <v>422</v>
      </c>
    </row>
    <row r="105" customFormat="false" ht="34.5" hidden="false" customHeight="true" outlineLevel="0" collapsed="false">
      <c r="A105" s="19" t="s">
        <v>11</v>
      </c>
      <c r="B105" s="20" t="s">
        <v>423</v>
      </c>
      <c r="C105" s="16" t="s">
        <v>424</v>
      </c>
      <c r="D105" s="16" t="s">
        <v>425</v>
      </c>
      <c r="E105" s="20" t="s">
        <v>4</v>
      </c>
      <c r="F105" s="20" t="s">
        <v>37</v>
      </c>
      <c r="G105" s="16" t="s">
        <v>426</v>
      </c>
    </row>
    <row r="106" customFormat="false" ht="68.25" hidden="false" customHeight="true" outlineLevel="0" collapsed="false">
      <c r="A106" s="19" t="s">
        <v>10</v>
      </c>
      <c r="B106" s="20" t="s">
        <v>363</v>
      </c>
      <c r="C106" s="16" t="s">
        <v>427</v>
      </c>
      <c r="D106" s="16" t="s">
        <v>428</v>
      </c>
      <c r="E106" s="20" t="s">
        <v>4</v>
      </c>
      <c r="F106" s="20" t="s">
        <v>37</v>
      </c>
      <c r="G106" s="16" t="s">
        <v>366</v>
      </c>
    </row>
    <row r="107" customFormat="false" ht="79.5" hidden="false" customHeight="true" outlineLevel="0" collapsed="false">
      <c r="A107" s="19" t="s">
        <v>10</v>
      </c>
      <c r="B107" s="20" t="s">
        <v>429</v>
      </c>
      <c r="C107" s="16" t="s">
        <v>430</v>
      </c>
      <c r="D107" s="16" t="s">
        <v>431</v>
      </c>
      <c r="E107" s="20" t="s">
        <v>4</v>
      </c>
      <c r="F107" s="20" t="s">
        <v>37</v>
      </c>
      <c r="G107" s="16" t="s">
        <v>432</v>
      </c>
    </row>
    <row r="108" customFormat="false" ht="68.25" hidden="false" customHeight="true" outlineLevel="0" collapsed="false">
      <c r="A108" s="19" t="s">
        <v>10</v>
      </c>
      <c r="B108" s="20" t="s">
        <v>433</v>
      </c>
      <c r="C108" s="16" t="s">
        <v>434</v>
      </c>
      <c r="D108" s="16" t="s">
        <v>435</v>
      </c>
      <c r="E108" s="20" t="s">
        <v>4</v>
      </c>
      <c r="F108" s="20" t="s">
        <v>37</v>
      </c>
      <c r="G108" s="16" t="s">
        <v>436</v>
      </c>
    </row>
    <row r="109" customFormat="false" ht="124.5" hidden="false" customHeight="true" outlineLevel="0" collapsed="false">
      <c r="A109" s="19" t="s">
        <v>10</v>
      </c>
      <c r="B109" s="20" t="s">
        <v>437</v>
      </c>
      <c r="C109" s="16" t="s">
        <v>438</v>
      </c>
      <c r="D109" s="16" t="s">
        <v>439</v>
      </c>
      <c r="E109" s="20" t="s">
        <v>4</v>
      </c>
      <c r="F109" s="20" t="s">
        <v>37</v>
      </c>
      <c r="G109" s="16" t="s">
        <v>440</v>
      </c>
    </row>
    <row r="110" customFormat="false" ht="46.25" hidden="false" customHeight="false" outlineLevel="0" collapsed="false">
      <c r="A110" s="19" t="s">
        <v>9</v>
      </c>
      <c r="B110" s="20" t="s">
        <v>441</v>
      </c>
      <c r="C110" s="16" t="s">
        <v>442</v>
      </c>
      <c r="D110" s="16" t="s">
        <v>443</v>
      </c>
      <c r="E110" s="20" t="s">
        <v>4</v>
      </c>
      <c r="F110" s="20" t="s">
        <v>37</v>
      </c>
      <c r="G110" s="16" t="s">
        <v>444</v>
      </c>
    </row>
  </sheetData>
  <autoFilter ref="A4:G44"/>
  <conditionalFormatting sqref="E5:E44">
    <cfRule type="cellIs" priority="2" operator="equal" aboveAverage="0" equalAverage="0" bottom="0" percent="0" rank="0" text="" dxfId="8">
      <formula>"Done"</formula>
    </cfRule>
    <cfRule type="cellIs" priority="3" operator="equal" aboveAverage="0" equalAverage="0" bottom="0" percent="0" rank="0" text="" dxfId="9">
      <formula>"In Progress"</formula>
    </cfRule>
    <cfRule type="cellIs" priority="4" operator="equal" aboveAverage="0" equalAverage="0" bottom="0" percent="0" rank="0" text="" dxfId="10">
      <formula>"Blocked"</formula>
    </cfRule>
  </conditionalFormatting>
  <dataValidations count="1">
    <dataValidation allowBlank="true" errorStyle="stop" operator="between" showDropDown="false" showErrorMessage="false" showInputMessage="false" sqref="E5:E44" type="list">
      <formula1>"Not Started,In Progress,Done,Blocked,N/A"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7"/>
    <col collapsed="false" customWidth="true" hidden="false" outlineLevel="0" max="2" min="2" style="1" width="8"/>
    <col collapsed="false" customWidth="true" hidden="false" outlineLevel="0" max="3" min="3" style="1" width="26"/>
    <col collapsed="false" customWidth="true" hidden="false" outlineLevel="0" max="4" min="4" style="1" width="56"/>
    <col collapsed="false" customWidth="true" hidden="false" outlineLevel="0" max="5" min="5" style="1" width="11"/>
    <col collapsed="false" customWidth="true" hidden="false" outlineLevel="0" max="6" min="6" style="1" width="13"/>
    <col collapsed="false" customWidth="true" hidden="false" outlineLevel="0" max="7" min="7" style="1" width="56"/>
  </cols>
  <sheetData>
    <row r="1" customFormat="false" ht="17.25" hidden="false" customHeight="true" outlineLevel="0" collapsed="false">
      <c r="A1" s="2" t="s">
        <v>445</v>
      </c>
    </row>
    <row r="3" customFormat="false" ht="15" hidden="false" customHeight="true" outlineLevel="0" collapsed="false">
      <c r="A3" s="4" t="s">
        <v>19</v>
      </c>
      <c r="B3" s="4" t="s">
        <v>20</v>
      </c>
      <c r="C3" s="4" t="s">
        <v>446</v>
      </c>
      <c r="D3" s="4" t="s">
        <v>447</v>
      </c>
      <c r="E3" s="4" t="s">
        <v>448</v>
      </c>
      <c r="F3" s="4" t="s">
        <v>22</v>
      </c>
      <c r="G3" s="4" t="s">
        <v>24</v>
      </c>
    </row>
    <row r="4" customFormat="false" ht="15" hidden="false" customHeight="true" outlineLevel="0" collapsed="false">
      <c r="A4" s="6" t="s">
        <v>449</v>
      </c>
      <c r="B4" s="6" t="s">
        <v>25</v>
      </c>
      <c r="C4" s="16" t="s">
        <v>450</v>
      </c>
      <c r="D4" s="16" t="s">
        <v>451</v>
      </c>
      <c r="E4" s="6" t="s">
        <v>452</v>
      </c>
      <c r="F4" s="6" t="s">
        <v>453</v>
      </c>
      <c r="G4" s="16" t="s">
        <v>454</v>
      </c>
    </row>
    <row r="5" customFormat="false" ht="15" hidden="false" customHeight="true" outlineLevel="0" collapsed="false">
      <c r="A5" s="6" t="s">
        <v>455</v>
      </c>
      <c r="B5" s="6" t="s">
        <v>25</v>
      </c>
      <c r="C5" s="16" t="s">
        <v>456</v>
      </c>
      <c r="D5" s="16" t="s">
        <v>457</v>
      </c>
      <c r="E5" s="6" t="s">
        <v>452</v>
      </c>
      <c r="F5" s="6" t="s">
        <v>453</v>
      </c>
      <c r="G5" s="16"/>
    </row>
    <row r="6" customFormat="false" ht="15" hidden="false" customHeight="true" outlineLevel="0" collapsed="false">
      <c r="A6" s="6" t="s">
        <v>458</v>
      </c>
      <c r="B6" s="6" t="s">
        <v>25</v>
      </c>
      <c r="C6" s="16" t="s">
        <v>459</v>
      </c>
      <c r="D6" s="16" t="s">
        <v>460</v>
      </c>
      <c r="E6" s="6" t="s">
        <v>461</v>
      </c>
      <c r="F6" s="6" t="s">
        <v>453</v>
      </c>
      <c r="G6" s="16"/>
    </row>
    <row r="7" customFormat="false" ht="15" hidden="false" customHeight="true" outlineLevel="0" collapsed="false">
      <c r="A7" s="6" t="s">
        <v>462</v>
      </c>
      <c r="B7" s="6" t="s">
        <v>25</v>
      </c>
      <c r="C7" s="16" t="s">
        <v>459</v>
      </c>
      <c r="D7" s="16" t="s">
        <v>463</v>
      </c>
      <c r="E7" s="6" t="s">
        <v>464</v>
      </c>
      <c r="F7" s="6" t="s">
        <v>453</v>
      </c>
      <c r="G7" s="16" t="s">
        <v>465</v>
      </c>
    </row>
    <row r="8" customFormat="false" ht="15" hidden="false" customHeight="true" outlineLevel="0" collapsed="false">
      <c r="A8" s="6" t="s">
        <v>466</v>
      </c>
      <c r="B8" s="6" t="s">
        <v>25</v>
      </c>
      <c r="C8" s="16" t="s">
        <v>467</v>
      </c>
      <c r="D8" s="16" t="s">
        <v>468</v>
      </c>
      <c r="E8" s="6" t="s">
        <v>464</v>
      </c>
      <c r="F8" s="6" t="s">
        <v>453</v>
      </c>
      <c r="G8" s="16"/>
    </row>
    <row r="9" customFormat="false" ht="15" hidden="false" customHeight="true" outlineLevel="0" collapsed="false">
      <c r="A9" s="6" t="s">
        <v>469</v>
      </c>
      <c r="B9" s="6" t="s">
        <v>30</v>
      </c>
      <c r="C9" s="16" t="s">
        <v>470</v>
      </c>
      <c r="D9" s="16" t="s">
        <v>471</v>
      </c>
      <c r="E9" s="6" t="s">
        <v>452</v>
      </c>
      <c r="F9" s="6" t="s">
        <v>453</v>
      </c>
      <c r="G9" s="16" t="s">
        <v>472</v>
      </c>
    </row>
    <row r="10" customFormat="false" ht="15" hidden="false" customHeight="true" outlineLevel="0" collapsed="false">
      <c r="A10" s="6" t="s">
        <v>473</v>
      </c>
      <c r="B10" s="6" t="s">
        <v>30</v>
      </c>
      <c r="C10" s="16" t="s">
        <v>474</v>
      </c>
      <c r="D10" s="16" t="s">
        <v>475</v>
      </c>
      <c r="E10" s="6" t="s">
        <v>452</v>
      </c>
      <c r="F10" s="6" t="s">
        <v>453</v>
      </c>
      <c r="G10" s="16" t="s">
        <v>476</v>
      </c>
    </row>
    <row r="11" customFormat="false" ht="15" hidden="false" customHeight="true" outlineLevel="0" collapsed="false">
      <c r="A11" s="6" t="s">
        <v>477</v>
      </c>
      <c r="B11" s="6" t="s">
        <v>30</v>
      </c>
      <c r="C11" s="16" t="s">
        <v>450</v>
      </c>
      <c r="D11" s="16" t="s">
        <v>478</v>
      </c>
      <c r="E11" s="6" t="s">
        <v>452</v>
      </c>
      <c r="F11" s="6" t="s">
        <v>453</v>
      </c>
      <c r="G11" s="16" t="s">
        <v>479</v>
      </c>
    </row>
    <row r="12" customFormat="false" ht="15" hidden="false" customHeight="true" outlineLevel="0" collapsed="false">
      <c r="A12" s="6" t="s">
        <v>480</v>
      </c>
      <c r="B12" s="6" t="s">
        <v>30</v>
      </c>
      <c r="C12" s="16" t="s">
        <v>481</v>
      </c>
      <c r="D12" s="16" t="s">
        <v>482</v>
      </c>
      <c r="E12" s="6" t="s">
        <v>464</v>
      </c>
      <c r="F12" s="6" t="s">
        <v>453</v>
      </c>
      <c r="G12" s="16" t="s">
        <v>483</v>
      </c>
    </row>
    <row r="13" customFormat="false" ht="15" hidden="false" customHeight="true" outlineLevel="0" collapsed="false">
      <c r="A13" s="6" t="s">
        <v>484</v>
      </c>
      <c r="B13" s="6" t="s">
        <v>30</v>
      </c>
      <c r="C13" s="16" t="s">
        <v>485</v>
      </c>
      <c r="D13" s="16" t="s">
        <v>486</v>
      </c>
      <c r="E13" s="6" t="s">
        <v>464</v>
      </c>
      <c r="F13" s="6" t="s">
        <v>453</v>
      </c>
      <c r="G13" s="16" t="s">
        <v>487</v>
      </c>
    </row>
    <row r="14" customFormat="false" ht="23.25" hidden="false" customHeight="true" outlineLevel="0" collapsed="false">
      <c r="A14" s="6" t="s">
        <v>488</v>
      </c>
      <c r="B14" s="6" t="s">
        <v>30</v>
      </c>
      <c r="C14" s="16" t="s">
        <v>489</v>
      </c>
      <c r="D14" s="16" t="s">
        <v>490</v>
      </c>
      <c r="E14" s="6" t="s">
        <v>464</v>
      </c>
      <c r="F14" s="6" t="s">
        <v>453</v>
      </c>
      <c r="G14" s="16" t="s">
        <v>491</v>
      </c>
    </row>
    <row r="15" customFormat="false" ht="23.25" hidden="false" customHeight="true" outlineLevel="0" collapsed="false">
      <c r="A15" s="6" t="s">
        <v>492</v>
      </c>
      <c r="B15" s="6" t="s">
        <v>493</v>
      </c>
      <c r="C15" s="16" t="s">
        <v>494</v>
      </c>
      <c r="D15" s="16" t="s">
        <v>495</v>
      </c>
      <c r="E15" s="6" t="s">
        <v>464</v>
      </c>
      <c r="F15" s="6" t="s">
        <v>453</v>
      </c>
      <c r="G15" s="16" t="s">
        <v>496</v>
      </c>
    </row>
    <row r="16" customFormat="false" ht="15" hidden="false" customHeight="true" outlineLevel="0" collapsed="false">
      <c r="A16" s="6" t="s">
        <v>497</v>
      </c>
      <c r="B16" s="6" t="s">
        <v>34</v>
      </c>
      <c r="C16" s="16" t="s">
        <v>498</v>
      </c>
      <c r="D16" s="16" t="s">
        <v>499</v>
      </c>
      <c r="E16" s="6" t="s">
        <v>452</v>
      </c>
      <c r="F16" s="6" t="s">
        <v>453</v>
      </c>
      <c r="G16" s="16" t="s">
        <v>500</v>
      </c>
    </row>
    <row r="17" customFormat="false" ht="15" hidden="false" customHeight="true" outlineLevel="0" collapsed="false">
      <c r="A17" s="6" t="s">
        <v>501</v>
      </c>
      <c r="B17" s="6" t="s">
        <v>47</v>
      </c>
      <c r="C17" s="16" t="s">
        <v>502</v>
      </c>
      <c r="D17" s="16" t="s">
        <v>503</v>
      </c>
      <c r="E17" s="6" t="s">
        <v>452</v>
      </c>
      <c r="F17" s="6" t="s">
        <v>453</v>
      </c>
      <c r="G17" s="16" t="s">
        <v>504</v>
      </c>
    </row>
    <row r="18" customFormat="false" ht="15" hidden="false" customHeight="true" outlineLevel="0" collapsed="false">
      <c r="A18" s="6" t="s">
        <v>505</v>
      </c>
      <c r="B18" s="6" t="s">
        <v>52</v>
      </c>
      <c r="C18" s="16" t="s">
        <v>506</v>
      </c>
      <c r="D18" s="16" t="s">
        <v>507</v>
      </c>
      <c r="E18" s="6" t="s">
        <v>461</v>
      </c>
      <c r="F18" s="6" t="s">
        <v>508</v>
      </c>
      <c r="G18" s="16" t="s">
        <v>509</v>
      </c>
    </row>
    <row r="19" customFormat="false" ht="15" hidden="false" customHeight="true" outlineLevel="0" collapsed="false">
      <c r="A19" s="6" t="s">
        <v>510</v>
      </c>
      <c r="B19" s="6" t="s">
        <v>493</v>
      </c>
      <c r="C19" s="16" t="s">
        <v>511</v>
      </c>
      <c r="D19" s="16" t="s">
        <v>512</v>
      </c>
      <c r="E19" s="6" t="s">
        <v>461</v>
      </c>
      <c r="F19" s="6" t="s">
        <v>453</v>
      </c>
      <c r="G19" s="16" t="s">
        <v>513</v>
      </c>
    </row>
    <row r="20" customFormat="false" ht="15" hidden="false" customHeight="true" outlineLevel="0" collapsed="false">
      <c r="A20" s="6" t="s">
        <v>514</v>
      </c>
      <c r="B20" s="6" t="s">
        <v>30</v>
      </c>
      <c r="C20" s="16" t="s">
        <v>515</v>
      </c>
      <c r="D20" s="16" t="s">
        <v>516</v>
      </c>
      <c r="E20" s="6" t="s">
        <v>461</v>
      </c>
      <c r="F20" s="6" t="s">
        <v>453</v>
      </c>
      <c r="G20" s="16" t="s">
        <v>517</v>
      </c>
    </row>
    <row r="21" customFormat="false" ht="15" hidden="false" customHeight="true" outlineLevel="0" collapsed="false">
      <c r="A21" s="6" t="s">
        <v>518</v>
      </c>
      <c r="B21" s="6" t="s">
        <v>493</v>
      </c>
      <c r="C21" s="16" t="s">
        <v>515</v>
      </c>
      <c r="D21" s="16" t="s">
        <v>519</v>
      </c>
      <c r="E21" s="6" t="s">
        <v>464</v>
      </c>
      <c r="F21" s="6" t="s">
        <v>453</v>
      </c>
      <c r="G21" s="16" t="s">
        <v>520</v>
      </c>
    </row>
    <row r="22" customFormat="false" ht="15" hidden="false" customHeight="true" outlineLevel="0" collapsed="false">
      <c r="A22" s="6" t="s">
        <v>521</v>
      </c>
      <c r="B22" s="6" t="s">
        <v>493</v>
      </c>
      <c r="C22" s="16" t="s">
        <v>522</v>
      </c>
      <c r="D22" s="16" t="s">
        <v>523</v>
      </c>
      <c r="E22" s="6" t="s">
        <v>464</v>
      </c>
      <c r="F22" s="6" t="s">
        <v>453</v>
      </c>
      <c r="G22" s="16" t="s">
        <v>524</v>
      </c>
    </row>
    <row r="23" customFormat="false" ht="15" hidden="false" customHeight="true" outlineLevel="0" collapsed="false">
      <c r="A23" s="6" t="s">
        <v>525</v>
      </c>
      <c r="B23" s="6" t="s">
        <v>493</v>
      </c>
      <c r="C23" s="16" t="s">
        <v>526</v>
      </c>
      <c r="D23" s="16" t="s">
        <v>527</v>
      </c>
      <c r="E23" s="6" t="s">
        <v>461</v>
      </c>
      <c r="F23" s="6" t="s">
        <v>453</v>
      </c>
      <c r="G23" s="16" t="s">
        <v>528</v>
      </c>
    </row>
    <row r="24" customFormat="false" ht="23.25" hidden="false" customHeight="true" outlineLevel="0" collapsed="false">
      <c r="A24" s="6" t="s">
        <v>529</v>
      </c>
      <c r="B24" s="6" t="s">
        <v>493</v>
      </c>
      <c r="C24" s="16" t="s">
        <v>530</v>
      </c>
      <c r="D24" s="16" t="s">
        <v>531</v>
      </c>
      <c r="E24" s="6" t="s">
        <v>452</v>
      </c>
      <c r="F24" s="6" t="s">
        <v>453</v>
      </c>
      <c r="G24" s="16" t="s">
        <v>532</v>
      </c>
    </row>
    <row r="25" customFormat="false" ht="23.25" hidden="false" customHeight="true" outlineLevel="0" collapsed="false">
      <c r="A25" s="6" t="s">
        <v>533</v>
      </c>
      <c r="B25" s="6" t="s">
        <v>493</v>
      </c>
      <c r="C25" s="16" t="s">
        <v>534</v>
      </c>
      <c r="D25" s="16" t="s">
        <v>535</v>
      </c>
      <c r="E25" s="6" t="s">
        <v>464</v>
      </c>
      <c r="F25" s="6" t="s">
        <v>453</v>
      </c>
      <c r="G25" s="16" t="s">
        <v>536</v>
      </c>
    </row>
    <row r="26" customFormat="false" ht="23.25" hidden="false" customHeight="true" outlineLevel="0" collapsed="false">
      <c r="A26" s="6" t="s">
        <v>537</v>
      </c>
      <c r="B26" s="6" t="s">
        <v>493</v>
      </c>
      <c r="C26" s="16" t="s">
        <v>538</v>
      </c>
      <c r="D26" s="16" t="s">
        <v>539</v>
      </c>
      <c r="E26" s="6" t="s">
        <v>461</v>
      </c>
      <c r="F26" s="6" t="s">
        <v>453</v>
      </c>
      <c r="G26" s="16" t="s">
        <v>540</v>
      </c>
    </row>
    <row r="27" customFormat="false" ht="23.25" hidden="false" customHeight="true" outlineLevel="0" collapsed="false">
      <c r="A27" s="6" t="s">
        <v>541</v>
      </c>
      <c r="B27" s="6" t="s">
        <v>493</v>
      </c>
      <c r="C27" s="16" t="s">
        <v>542</v>
      </c>
      <c r="D27" s="16" t="s">
        <v>543</v>
      </c>
      <c r="E27" s="6" t="s">
        <v>452</v>
      </c>
      <c r="F27" s="6" t="s">
        <v>453</v>
      </c>
      <c r="G27" s="16" t="s">
        <v>544</v>
      </c>
    </row>
    <row r="28" customFormat="false" ht="23.25" hidden="false" customHeight="true" outlineLevel="0" collapsed="false">
      <c r="A28" s="6" t="s">
        <v>545</v>
      </c>
      <c r="B28" s="6" t="s">
        <v>39</v>
      </c>
      <c r="C28" s="16" t="s">
        <v>456</v>
      </c>
      <c r="D28" s="16" t="s">
        <v>546</v>
      </c>
      <c r="E28" s="6" t="s">
        <v>452</v>
      </c>
      <c r="F28" s="6" t="s">
        <v>453</v>
      </c>
      <c r="G28" s="16" t="s">
        <v>547</v>
      </c>
    </row>
    <row r="29" customFormat="false" ht="23.25" hidden="false" customHeight="true" outlineLevel="0" collapsed="false">
      <c r="A29" s="6" t="s">
        <v>548</v>
      </c>
      <c r="B29" s="6" t="s">
        <v>43</v>
      </c>
      <c r="C29" s="16" t="s">
        <v>459</v>
      </c>
      <c r="D29" s="16" t="s">
        <v>549</v>
      </c>
      <c r="E29" s="6" t="s">
        <v>464</v>
      </c>
      <c r="F29" s="6" t="s">
        <v>453</v>
      </c>
      <c r="G29" s="16" t="s">
        <v>550</v>
      </c>
    </row>
    <row r="30" customFormat="false" ht="23.25" hidden="false" customHeight="true" outlineLevel="0" collapsed="false">
      <c r="A30" s="6" t="s">
        <v>551</v>
      </c>
      <c r="B30" s="6" t="s">
        <v>43</v>
      </c>
      <c r="C30" s="16" t="s">
        <v>470</v>
      </c>
      <c r="D30" s="16" t="s">
        <v>552</v>
      </c>
      <c r="E30" s="6" t="s">
        <v>464</v>
      </c>
      <c r="F30" s="6" t="s">
        <v>453</v>
      </c>
      <c r="G30" s="16" t="s">
        <v>553</v>
      </c>
    </row>
    <row r="31" customFormat="false" ht="45.75" hidden="false" customHeight="true" outlineLevel="0" collapsed="false">
      <c r="A31" s="6" t="s">
        <v>554</v>
      </c>
      <c r="B31" s="6" t="s">
        <v>47</v>
      </c>
      <c r="C31" s="16" t="s">
        <v>555</v>
      </c>
      <c r="D31" s="16" t="s">
        <v>556</v>
      </c>
      <c r="E31" s="6" t="s">
        <v>452</v>
      </c>
      <c r="F31" s="6" t="s">
        <v>453</v>
      </c>
      <c r="G31" s="16" t="s">
        <v>557</v>
      </c>
    </row>
    <row r="32" customFormat="false" ht="23.25" hidden="false" customHeight="true" outlineLevel="0" collapsed="false">
      <c r="A32" s="6" t="s">
        <v>558</v>
      </c>
      <c r="B32" s="6" t="s">
        <v>559</v>
      </c>
      <c r="C32" s="16" t="s">
        <v>515</v>
      </c>
      <c r="D32" s="16" t="s">
        <v>560</v>
      </c>
      <c r="E32" s="6" t="s">
        <v>452</v>
      </c>
      <c r="F32" s="6" t="s">
        <v>453</v>
      </c>
      <c r="G32" s="16" t="s">
        <v>561</v>
      </c>
    </row>
    <row r="33" customFormat="false" ht="23.25" hidden="false" customHeight="true" outlineLevel="0" collapsed="false">
      <c r="A33" s="6" t="s">
        <v>562</v>
      </c>
      <c r="B33" s="6" t="s">
        <v>559</v>
      </c>
      <c r="C33" s="16" t="s">
        <v>563</v>
      </c>
      <c r="D33" s="16" t="s">
        <v>564</v>
      </c>
      <c r="E33" s="6" t="s">
        <v>452</v>
      </c>
      <c r="F33" s="6" t="s">
        <v>453</v>
      </c>
      <c r="G33" s="16" t="s">
        <v>565</v>
      </c>
    </row>
    <row r="34" customFormat="false" ht="23.25" hidden="false" customHeight="true" outlineLevel="0" collapsed="false">
      <c r="A34" s="6" t="s">
        <v>566</v>
      </c>
      <c r="B34" s="6" t="s">
        <v>493</v>
      </c>
      <c r="C34" s="16" t="s">
        <v>567</v>
      </c>
      <c r="D34" s="16" t="s">
        <v>568</v>
      </c>
      <c r="E34" s="6" t="s">
        <v>461</v>
      </c>
      <c r="F34" s="6" t="s">
        <v>569</v>
      </c>
      <c r="G34" s="16" t="s">
        <v>570</v>
      </c>
    </row>
    <row r="35" customFormat="false" ht="34.5" hidden="false" customHeight="true" outlineLevel="0" collapsed="false">
      <c r="A35" s="6" t="s">
        <v>571</v>
      </c>
      <c r="B35" s="6" t="s">
        <v>493</v>
      </c>
      <c r="C35" s="16" t="s">
        <v>572</v>
      </c>
      <c r="D35" s="16" t="s">
        <v>573</v>
      </c>
      <c r="E35" s="6" t="s">
        <v>461</v>
      </c>
      <c r="F35" s="6" t="s">
        <v>569</v>
      </c>
      <c r="G35" s="16" t="s">
        <v>574</v>
      </c>
    </row>
    <row r="36" customFormat="false" ht="15" hidden="false" customHeight="true" outlineLevel="0" collapsed="false">
      <c r="A36" s="6" t="s">
        <v>575</v>
      </c>
      <c r="B36" s="6" t="s">
        <v>493</v>
      </c>
      <c r="C36" s="16" t="s">
        <v>572</v>
      </c>
      <c r="D36" s="16" t="s">
        <v>576</v>
      </c>
      <c r="E36" s="6" t="s">
        <v>461</v>
      </c>
      <c r="F36" s="6" t="s">
        <v>453</v>
      </c>
      <c r="G36" s="16" t="s">
        <v>577</v>
      </c>
    </row>
    <row r="37" customFormat="false" ht="34.5" hidden="false" customHeight="true" outlineLevel="0" collapsed="false">
      <c r="A37" s="20" t="s">
        <v>578</v>
      </c>
      <c r="B37" s="20" t="s">
        <v>56</v>
      </c>
      <c r="C37" s="20" t="s">
        <v>579</v>
      </c>
      <c r="D37" s="16" t="s">
        <v>580</v>
      </c>
      <c r="E37" s="20" t="s">
        <v>464</v>
      </c>
      <c r="F37" s="20" t="s">
        <v>453</v>
      </c>
      <c r="G37" s="16" t="s">
        <v>581</v>
      </c>
    </row>
    <row r="38" customFormat="false" ht="34.5" hidden="false" customHeight="true" outlineLevel="0" collapsed="false">
      <c r="A38" s="20" t="s">
        <v>582</v>
      </c>
      <c r="B38" s="20" t="s">
        <v>583</v>
      </c>
      <c r="C38" s="20" t="s">
        <v>584</v>
      </c>
      <c r="D38" s="16" t="s">
        <v>585</v>
      </c>
      <c r="E38" s="20" t="s">
        <v>461</v>
      </c>
      <c r="F38" s="20" t="s">
        <v>569</v>
      </c>
      <c r="G38" s="16" t="s">
        <v>586</v>
      </c>
    </row>
    <row r="39" customFormat="false" ht="45.75" hidden="false" customHeight="true" outlineLevel="0" collapsed="false">
      <c r="A39" s="20" t="s">
        <v>587</v>
      </c>
      <c r="B39" s="20" t="s">
        <v>52</v>
      </c>
      <c r="C39" s="20" t="s">
        <v>467</v>
      </c>
      <c r="D39" s="16" t="s">
        <v>588</v>
      </c>
      <c r="E39" s="20" t="s">
        <v>452</v>
      </c>
      <c r="F39" s="20" t="s">
        <v>453</v>
      </c>
      <c r="G39" s="16" t="s">
        <v>589</v>
      </c>
    </row>
    <row r="40" customFormat="false" ht="23.25" hidden="false" customHeight="true" outlineLevel="0" collapsed="false">
      <c r="A40" s="20" t="s">
        <v>590</v>
      </c>
      <c r="B40" s="20" t="s">
        <v>521</v>
      </c>
      <c r="C40" s="20" t="s">
        <v>591</v>
      </c>
      <c r="D40" s="16" t="s">
        <v>592</v>
      </c>
      <c r="E40" s="20" t="s">
        <v>464</v>
      </c>
      <c r="F40" s="20" t="s">
        <v>569</v>
      </c>
      <c r="G40" s="16" t="s">
        <v>593</v>
      </c>
    </row>
    <row r="41" customFormat="false" ht="34.5" hidden="false" customHeight="true" outlineLevel="0" collapsed="false">
      <c r="A41" s="20" t="s">
        <v>594</v>
      </c>
      <c r="B41" s="20" t="s">
        <v>76</v>
      </c>
      <c r="C41" s="20" t="s">
        <v>595</v>
      </c>
      <c r="D41" s="16" t="s">
        <v>596</v>
      </c>
      <c r="E41" s="20" t="s">
        <v>464</v>
      </c>
      <c r="F41" s="20" t="s">
        <v>453</v>
      </c>
      <c r="G41" s="16" t="s">
        <v>597</v>
      </c>
    </row>
    <row r="42" customFormat="false" ht="34.5" hidden="false" customHeight="true" outlineLevel="0" collapsed="false">
      <c r="A42" s="20" t="s">
        <v>598</v>
      </c>
      <c r="B42" s="20" t="s">
        <v>76</v>
      </c>
      <c r="C42" s="20" t="s">
        <v>599</v>
      </c>
      <c r="D42" s="16" t="s">
        <v>600</v>
      </c>
      <c r="E42" s="20" t="s">
        <v>461</v>
      </c>
      <c r="F42" s="20" t="s">
        <v>453</v>
      </c>
      <c r="G42" s="16" t="s">
        <v>601</v>
      </c>
    </row>
    <row r="43" customFormat="false" ht="23.25" hidden="false" customHeight="true" outlineLevel="0" collapsed="false">
      <c r="A43" s="20" t="s">
        <v>602</v>
      </c>
      <c r="B43" s="20" t="s">
        <v>84</v>
      </c>
      <c r="C43" s="20" t="s">
        <v>603</v>
      </c>
      <c r="D43" s="16" t="s">
        <v>604</v>
      </c>
      <c r="E43" s="20" t="s">
        <v>461</v>
      </c>
      <c r="F43" s="20" t="s">
        <v>453</v>
      </c>
      <c r="G43" s="16" t="s">
        <v>605</v>
      </c>
    </row>
    <row r="44" customFormat="false" ht="23.25" hidden="false" customHeight="true" outlineLevel="0" collapsed="false">
      <c r="A44" s="20" t="s">
        <v>606</v>
      </c>
      <c r="B44" s="20" t="s">
        <v>76</v>
      </c>
      <c r="C44" s="20" t="s">
        <v>607</v>
      </c>
      <c r="D44" s="16" t="s">
        <v>608</v>
      </c>
      <c r="E44" s="20" t="s">
        <v>461</v>
      </c>
      <c r="F44" s="20" t="s">
        <v>453</v>
      </c>
      <c r="G44" s="16" t="s">
        <v>609</v>
      </c>
    </row>
    <row r="45" customFormat="false" ht="34.5" hidden="false" customHeight="true" outlineLevel="0" collapsed="false">
      <c r="A45" s="20" t="s">
        <v>610</v>
      </c>
      <c r="B45" s="20" t="s">
        <v>183</v>
      </c>
      <c r="C45" s="20" t="s">
        <v>611</v>
      </c>
      <c r="D45" s="16" t="s">
        <v>612</v>
      </c>
      <c r="E45" s="20" t="s">
        <v>452</v>
      </c>
      <c r="F45" s="20" t="s">
        <v>453</v>
      </c>
      <c r="G45" s="16" t="s">
        <v>613</v>
      </c>
    </row>
    <row r="46" customFormat="false" ht="23.25" hidden="false" customHeight="true" outlineLevel="0" collapsed="false">
      <c r="A46" s="20" t="s">
        <v>614</v>
      </c>
      <c r="B46" s="20" t="s">
        <v>80</v>
      </c>
      <c r="C46" s="20" t="s">
        <v>615</v>
      </c>
      <c r="D46" s="16" t="s">
        <v>616</v>
      </c>
      <c r="E46" s="20" t="s">
        <v>452</v>
      </c>
      <c r="F46" s="20" t="s">
        <v>453</v>
      </c>
      <c r="G46" s="16" t="s">
        <v>617</v>
      </c>
    </row>
    <row r="47" customFormat="false" ht="23.25" hidden="false" customHeight="true" outlineLevel="0" collapsed="false">
      <c r="A47" s="20" t="s">
        <v>618</v>
      </c>
      <c r="B47" s="20" t="s">
        <v>183</v>
      </c>
      <c r="C47" s="20" t="s">
        <v>619</v>
      </c>
      <c r="D47" s="16" t="s">
        <v>620</v>
      </c>
      <c r="E47" s="20" t="s">
        <v>464</v>
      </c>
      <c r="F47" s="20" t="s">
        <v>453</v>
      </c>
      <c r="G47" s="16" t="s">
        <v>621</v>
      </c>
    </row>
    <row r="48" customFormat="false" ht="34.5" hidden="false" customHeight="true" outlineLevel="0" collapsed="false">
      <c r="A48" s="20" t="s">
        <v>622</v>
      </c>
      <c r="B48" s="20" t="s">
        <v>183</v>
      </c>
      <c r="C48" s="20" t="s">
        <v>515</v>
      </c>
      <c r="D48" s="16" t="s">
        <v>623</v>
      </c>
      <c r="E48" s="20" t="s">
        <v>464</v>
      </c>
      <c r="F48" s="20" t="s">
        <v>453</v>
      </c>
      <c r="G48" s="16" t="s">
        <v>624</v>
      </c>
    </row>
    <row r="49" customFormat="false" ht="34.5" hidden="false" customHeight="true" outlineLevel="0" collapsed="false">
      <c r="A49" s="20" t="s">
        <v>625</v>
      </c>
      <c r="B49" s="20" t="s">
        <v>207</v>
      </c>
      <c r="C49" s="20" t="s">
        <v>626</v>
      </c>
      <c r="D49" s="16" t="s">
        <v>627</v>
      </c>
      <c r="E49" s="20" t="s">
        <v>461</v>
      </c>
      <c r="F49" s="20" t="s">
        <v>453</v>
      </c>
      <c r="G49" s="16" t="s">
        <v>628</v>
      </c>
    </row>
    <row r="50" customFormat="false" ht="34.5" hidden="false" customHeight="true" outlineLevel="0" collapsed="false">
      <c r="A50" s="20" t="s">
        <v>629</v>
      </c>
      <c r="B50" s="20" t="s">
        <v>231</v>
      </c>
      <c r="C50" s="20" t="s">
        <v>630</v>
      </c>
      <c r="D50" s="16" t="s">
        <v>631</v>
      </c>
      <c r="E50" s="20" t="s">
        <v>452</v>
      </c>
      <c r="F50" s="20" t="s">
        <v>453</v>
      </c>
      <c r="G50" s="16" t="s">
        <v>632</v>
      </c>
    </row>
    <row r="51" customFormat="false" ht="23.25" hidden="false" customHeight="true" outlineLevel="0" collapsed="false">
      <c r="A51" s="20" t="s">
        <v>633</v>
      </c>
      <c r="B51" s="20" t="s">
        <v>231</v>
      </c>
      <c r="C51" s="20" t="s">
        <v>634</v>
      </c>
      <c r="D51" s="16" t="s">
        <v>635</v>
      </c>
      <c r="E51" s="20" t="s">
        <v>464</v>
      </c>
      <c r="F51" s="20" t="s">
        <v>453</v>
      </c>
      <c r="G51" s="16" t="s">
        <v>636</v>
      </c>
    </row>
    <row r="52" customFormat="false" ht="23.25" hidden="false" customHeight="true" outlineLevel="0" collapsed="false">
      <c r="A52" s="20" t="s">
        <v>637</v>
      </c>
      <c r="B52" s="20" t="s">
        <v>231</v>
      </c>
      <c r="C52" s="20" t="s">
        <v>603</v>
      </c>
      <c r="D52" s="16" t="s">
        <v>638</v>
      </c>
      <c r="E52" s="20" t="s">
        <v>461</v>
      </c>
      <c r="F52" s="20" t="s">
        <v>453</v>
      </c>
      <c r="G52" s="16" t="s">
        <v>639</v>
      </c>
    </row>
    <row r="53" customFormat="false" ht="23.25" hidden="false" customHeight="true" outlineLevel="0" collapsed="false">
      <c r="A53" s="20" t="s">
        <v>640</v>
      </c>
      <c r="B53" s="20" t="s">
        <v>231</v>
      </c>
      <c r="C53" s="20" t="s">
        <v>641</v>
      </c>
      <c r="D53" s="16" t="s">
        <v>642</v>
      </c>
      <c r="E53" s="20" t="s">
        <v>464</v>
      </c>
      <c r="F53" s="20" t="s">
        <v>453</v>
      </c>
      <c r="G53" s="16" t="s">
        <v>643</v>
      </c>
    </row>
    <row r="54" customFormat="false" ht="23.25" hidden="false" customHeight="true" outlineLevel="0" collapsed="false">
      <c r="A54" s="20" t="s">
        <v>644</v>
      </c>
      <c r="B54" s="20" t="s">
        <v>231</v>
      </c>
      <c r="C54" s="20" t="s">
        <v>645</v>
      </c>
      <c r="D54" s="16" t="s">
        <v>646</v>
      </c>
      <c r="E54" s="20" t="s">
        <v>452</v>
      </c>
      <c r="F54" s="20" t="s">
        <v>453</v>
      </c>
      <c r="G54" s="16" t="s">
        <v>647</v>
      </c>
    </row>
    <row r="55" customFormat="false" ht="15" hidden="false" customHeight="true" outlineLevel="0" collapsed="false">
      <c r="A55" s="20" t="s">
        <v>648</v>
      </c>
      <c r="B55" s="20" t="s">
        <v>231</v>
      </c>
      <c r="C55" s="20" t="s">
        <v>649</v>
      </c>
      <c r="D55" s="16" t="s">
        <v>650</v>
      </c>
      <c r="E55" s="20" t="s">
        <v>464</v>
      </c>
      <c r="F55" s="20" t="s">
        <v>453</v>
      </c>
      <c r="G55" s="16" t="s">
        <v>651</v>
      </c>
    </row>
    <row r="56" customFormat="false" ht="23.25" hidden="false" customHeight="true" outlineLevel="0" collapsed="false">
      <c r="A56" s="20" t="s">
        <v>652</v>
      </c>
      <c r="B56" s="20" t="s">
        <v>231</v>
      </c>
      <c r="C56" s="20" t="s">
        <v>641</v>
      </c>
      <c r="D56" s="16" t="s">
        <v>653</v>
      </c>
      <c r="E56" s="20" t="s">
        <v>464</v>
      </c>
      <c r="F56" s="20" t="s">
        <v>453</v>
      </c>
      <c r="G56" s="16" t="s">
        <v>654</v>
      </c>
    </row>
    <row r="57" customFormat="false" ht="23.25" hidden="false" customHeight="true" outlineLevel="0" collapsed="false">
      <c r="A57" s="20" t="s">
        <v>655</v>
      </c>
      <c r="B57" s="20" t="s">
        <v>231</v>
      </c>
      <c r="C57" s="20" t="s">
        <v>656</v>
      </c>
      <c r="D57" s="16" t="s">
        <v>657</v>
      </c>
      <c r="E57" s="20" t="s">
        <v>464</v>
      </c>
      <c r="F57" s="20" t="s">
        <v>453</v>
      </c>
      <c r="G57" s="16" t="s">
        <v>658</v>
      </c>
    </row>
    <row r="58" customFormat="false" ht="34.5" hidden="false" customHeight="true" outlineLevel="0" collapsed="false">
      <c r="A58" s="20" t="s">
        <v>659</v>
      </c>
      <c r="B58" s="20" t="s">
        <v>231</v>
      </c>
      <c r="C58" s="20" t="s">
        <v>660</v>
      </c>
      <c r="D58" s="16" t="s">
        <v>661</v>
      </c>
      <c r="E58" s="20" t="s">
        <v>452</v>
      </c>
      <c r="F58" s="20" t="s">
        <v>453</v>
      </c>
      <c r="G58" s="16" t="s">
        <v>662</v>
      </c>
    </row>
    <row r="59" customFormat="false" ht="23.25" hidden="false" customHeight="true" outlineLevel="0" collapsed="false">
      <c r="A59" s="20" t="s">
        <v>663</v>
      </c>
      <c r="B59" s="20" t="s">
        <v>231</v>
      </c>
      <c r="C59" s="20" t="s">
        <v>664</v>
      </c>
      <c r="D59" s="16" t="s">
        <v>665</v>
      </c>
      <c r="E59" s="20" t="s">
        <v>464</v>
      </c>
      <c r="F59" s="20" t="s">
        <v>453</v>
      </c>
      <c r="G59" s="16" t="s">
        <v>666</v>
      </c>
    </row>
    <row r="60" customFormat="false" ht="34.5" hidden="false" customHeight="true" outlineLevel="0" collapsed="false">
      <c r="A60" s="20" t="s">
        <v>667</v>
      </c>
      <c r="B60" s="20" t="s">
        <v>231</v>
      </c>
      <c r="C60" s="20" t="s">
        <v>668</v>
      </c>
      <c r="D60" s="16" t="s">
        <v>669</v>
      </c>
      <c r="E60" s="20" t="s">
        <v>464</v>
      </c>
      <c r="F60" s="20" t="s">
        <v>508</v>
      </c>
      <c r="G60" s="16" t="s">
        <v>670</v>
      </c>
    </row>
    <row r="61" customFormat="false" ht="23.25" hidden="false" customHeight="true" outlineLevel="0" collapsed="false">
      <c r="A61" s="20" t="s">
        <v>671</v>
      </c>
      <c r="B61" s="20" t="s">
        <v>231</v>
      </c>
      <c r="C61" s="20" t="s">
        <v>672</v>
      </c>
      <c r="D61" s="16" t="s">
        <v>673</v>
      </c>
      <c r="E61" s="20" t="s">
        <v>464</v>
      </c>
      <c r="F61" s="20" t="s">
        <v>453</v>
      </c>
      <c r="G61" s="16" t="s">
        <v>674</v>
      </c>
    </row>
    <row r="62" customFormat="false" ht="34.5" hidden="false" customHeight="true" outlineLevel="0" collapsed="false">
      <c r="A62" s="20" t="s">
        <v>675</v>
      </c>
      <c r="B62" s="20" t="s">
        <v>255</v>
      </c>
      <c r="C62" s="20" t="s">
        <v>676</v>
      </c>
      <c r="D62" s="16" t="s">
        <v>677</v>
      </c>
      <c r="E62" s="20" t="s">
        <v>452</v>
      </c>
      <c r="F62" s="20" t="s">
        <v>453</v>
      </c>
      <c r="G62" s="16" t="s">
        <v>678</v>
      </c>
    </row>
    <row r="63" customFormat="false" ht="34.5" hidden="false" customHeight="true" outlineLevel="0" collapsed="false">
      <c r="A63" s="20" t="s">
        <v>679</v>
      </c>
      <c r="B63" s="20" t="s">
        <v>267</v>
      </c>
      <c r="C63" s="20" t="s">
        <v>680</v>
      </c>
      <c r="D63" s="16" t="s">
        <v>681</v>
      </c>
      <c r="E63" s="20" t="s">
        <v>464</v>
      </c>
      <c r="F63" s="20" t="s">
        <v>453</v>
      </c>
      <c r="G63" s="16" t="s">
        <v>682</v>
      </c>
    </row>
    <row r="64" customFormat="false" ht="34.5" hidden="false" customHeight="true" outlineLevel="0" collapsed="false">
      <c r="A64" s="20" t="s">
        <v>683</v>
      </c>
      <c r="B64" s="20" t="s">
        <v>275</v>
      </c>
      <c r="C64" s="20" t="s">
        <v>684</v>
      </c>
      <c r="D64" s="16" t="s">
        <v>685</v>
      </c>
      <c r="E64" s="20" t="s">
        <v>464</v>
      </c>
      <c r="F64" s="20" t="s">
        <v>453</v>
      </c>
      <c r="G64" s="16" t="s">
        <v>686</v>
      </c>
    </row>
    <row r="65" customFormat="false" ht="23.25" hidden="false" customHeight="true" outlineLevel="0" collapsed="false">
      <c r="A65" s="20" t="s">
        <v>687</v>
      </c>
      <c r="B65" s="20" t="s">
        <v>263</v>
      </c>
      <c r="C65" s="20" t="s">
        <v>555</v>
      </c>
      <c r="D65" s="16" t="s">
        <v>688</v>
      </c>
      <c r="E65" s="20" t="s">
        <v>461</v>
      </c>
      <c r="F65" s="20" t="s">
        <v>453</v>
      </c>
      <c r="G65" s="16" t="s">
        <v>689</v>
      </c>
    </row>
    <row r="66" customFormat="false" ht="34.5" hidden="false" customHeight="true" outlineLevel="0" collapsed="false">
      <c r="A66" s="20" t="s">
        <v>690</v>
      </c>
      <c r="B66" s="20" t="s">
        <v>275</v>
      </c>
      <c r="C66" s="20" t="s">
        <v>691</v>
      </c>
      <c r="D66" s="16" t="s">
        <v>692</v>
      </c>
      <c r="E66" s="20" t="s">
        <v>464</v>
      </c>
      <c r="F66" s="20" t="s">
        <v>453</v>
      </c>
      <c r="G66" s="16" t="s">
        <v>693</v>
      </c>
    </row>
    <row r="67" customFormat="false" ht="57" hidden="false" customHeight="true" outlineLevel="0" collapsed="false">
      <c r="A67" s="20" t="s">
        <v>694</v>
      </c>
      <c r="B67" s="20" t="s">
        <v>271</v>
      </c>
      <c r="C67" s="20" t="s">
        <v>695</v>
      </c>
      <c r="D67" s="16" t="s">
        <v>696</v>
      </c>
      <c r="E67" s="20" t="s">
        <v>464</v>
      </c>
      <c r="F67" s="20" t="s">
        <v>453</v>
      </c>
      <c r="G67" s="16" t="s">
        <v>697</v>
      </c>
    </row>
    <row r="68" customFormat="false" ht="45.75" hidden="false" customHeight="true" outlineLevel="0" collapsed="false">
      <c r="A68" s="20" t="s">
        <v>698</v>
      </c>
      <c r="B68" s="20" t="s">
        <v>307</v>
      </c>
      <c r="C68" s="20" t="s">
        <v>699</v>
      </c>
      <c r="D68" s="16" t="s">
        <v>700</v>
      </c>
      <c r="E68" s="20" t="s">
        <v>452</v>
      </c>
      <c r="F68" s="20" t="s">
        <v>453</v>
      </c>
      <c r="G68" s="16" t="s">
        <v>701</v>
      </c>
    </row>
    <row r="69" customFormat="false" ht="34.5" hidden="false" customHeight="true" outlineLevel="0" collapsed="false">
      <c r="A69" s="20" t="s">
        <v>702</v>
      </c>
      <c r="B69" s="20" t="s">
        <v>307</v>
      </c>
      <c r="C69" s="20" t="s">
        <v>703</v>
      </c>
      <c r="D69" s="16" t="s">
        <v>704</v>
      </c>
      <c r="E69" s="20" t="s">
        <v>464</v>
      </c>
      <c r="F69" s="20" t="s">
        <v>453</v>
      </c>
      <c r="G69" s="16" t="s">
        <v>705</v>
      </c>
    </row>
    <row r="70" customFormat="false" ht="34.5" hidden="false" customHeight="true" outlineLevel="0" collapsed="false">
      <c r="A70" s="20" t="s">
        <v>706</v>
      </c>
      <c r="B70" s="20" t="s">
        <v>307</v>
      </c>
      <c r="C70" s="20" t="s">
        <v>707</v>
      </c>
      <c r="D70" s="16" t="s">
        <v>708</v>
      </c>
      <c r="E70" s="20" t="s">
        <v>464</v>
      </c>
      <c r="F70" s="20" t="s">
        <v>453</v>
      </c>
      <c r="G70" s="16" t="s">
        <v>709</v>
      </c>
    </row>
    <row r="71" customFormat="false" ht="68.25" hidden="false" customHeight="true" outlineLevel="0" collapsed="false">
      <c r="A71" s="20" t="s">
        <v>710</v>
      </c>
      <c r="B71" s="20" t="s">
        <v>263</v>
      </c>
      <c r="C71" s="20" t="s">
        <v>711</v>
      </c>
      <c r="D71" s="16" t="s">
        <v>712</v>
      </c>
      <c r="E71" s="20" t="s">
        <v>464</v>
      </c>
      <c r="F71" s="20" t="s">
        <v>508</v>
      </c>
      <c r="G71" s="16" t="s">
        <v>713</v>
      </c>
    </row>
    <row r="72" customFormat="false" ht="68.25" hidden="false" customHeight="true" outlineLevel="0" collapsed="false">
      <c r="A72" s="20" t="s">
        <v>714</v>
      </c>
      <c r="B72" s="20" t="s">
        <v>715</v>
      </c>
      <c r="C72" s="20" t="s">
        <v>716</v>
      </c>
      <c r="D72" s="16" t="s">
        <v>717</v>
      </c>
      <c r="E72" s="20" t="s">
        <v>452</v>
      </c>
      <c r="F72" s="20" t="s">
        <v>453</v>
      </c>
      <c r="G72" s="16" t="s">
        <v>718</v>
      </c>
    </row>
    <row r="73" customFormat="false" ht="57" hidden="false" customHeight="true" outlineLevel="0" collapsed="false">
      <c r="A73" s="20" t="s">
        <v>719</v>
      </c>
      <c r="B73" s="20" t="s">
        <v>715</v>
      </c>
      <c r="C73" s="20" t="s">
        <v>720</v>
      </c>
      <c r="D73" s="16" t="s">
        <v>721</v>
      </c>
      <c r="E73" s="20" t="s">
        <v>452</v>
      </c>
      <c r="F73" s="20" t="s">
        <v>453</v>
      </c>
      <c r="G73" s="16" t="s">
        <v>722</v>
      </c>
    </row>
    <row r="74" customFormat="false" ht="45.75" hidden="false" customHeight="true" outlineLevel="0" collapsed="false">
      <c r="A74" s="20" t="s">
        <v>723</v>
      </c>
      <c r="B74" s="20" t="s">
        <v>715</v>
      </c>
      <c r="C74" s="20" t="s">
        <v>660</v>
      </c>
      <c r="D74" s="16" t="s">
        <v>724</v>
      </c>
      <c r="E74" s="20" t="s">
        <v>464</v>
      </c>
      <c r="F74" s="20" t="s">
        <v>453</v>
      </c>
      <c r="G74" s="16" t="s">
        <v>725</v>
      </c>
    </row>
    <row r="75" customFormat="false" ht="57" hidden="false" customHeight="true" outlineLevel="0" collapsed="false">
      <c r="A75" s="20" t="s">
        <v>726</v>
      </c>
      <c r="B75" s="20" t="s">
        <v>351</v>
      </c>
      <c r="C75" s="20" t="s">
        <v>727</v>
      </c>
      <c r="D75" s="16" t="s">
        <v>728</v>
      </c>
      <c r="E75" s="20" t="s">
        <v>452</v>
      </c>
      <c r="F75" s="20" t="s">
        <v>453</v>
      </c>
      <c r="G75" s="16" t="s">
        <v>729</v>
      </c>
    </row>
    <row r="76" customFormat="false" ht="34.5" hidden="false" customHeight="true" outlineLevel="0" collapsed="false">
      <c r="A76" s="20" t="s">
        <v>730</v>
      </c>
      <c r="B76" s="20" t="s">
        <v>351</v>
      </c>
      <c r="C76" s="20" t="s">
        <v>731</v>
      </c>
      <c r="D76" s="16" t="s">
        <v>732</v>
      </c>
      <c r="E76" s="20" t="s">
        <v>452</v>
      </c>
      <c r="F76" s="20" t="s">
        <v>453</v>
      </c>
      <c r="G76" s="16" t="s">
        <v>733</v>
      </c>
    </row>
    <row r="77" customFormat="false" ht="34.5" hidden="false" customHeight="true" outlineLevel="0" collapsed="false">
      <c r="A77" s="20" t="s">
        <v>734</v>
      </c>
      <c r="B77" s="20" t="s">
        <v>351</v>
      </c>
      <c r="C77" s="20" t="s">
        <v>735</v>
      </c>
      <c r="D77" s="16" t="s">
        <v>736</v>
      </c>
      <c r="E77" s="20" t="s">
        <v>464</v>
      </c>
      <c r="F77" s="20" t="s">
        <v>569</v>
      </c>
      <c r="G77" s="16" t="s">
        <v>737</v>
      </c>
    </row>
    <row r="78" customFormat="false" ht="34.5" hidden="false" customHeight="true" outlineLevel="0" collapsed="false">
      <c r="A78" s="20" t="s">
        <v>738</v>
      </c>
      <c r="B78" s="20" t="s">
        <v>739</v>
      </c>
      <c r="C78" s="20" t="s">
        <v>740</v>
      </c>
      <c r="D78" s="16" t="s">
        <v>741</v>
      </c>
      <c r="E78" s="20" t="s">
        <v>464</v>
      </c>
      <c r="F78" s="20" t="s">
        <v>569</v>
      </c>
      <c r="G78" s="16" t="s">
        <v>742</v>
      </c>
    </row>
    <row r="79" customFormat="false" ht="45.75" hidden="false" customHeight="true" outlineLevel="0" collapsed="false">
      <c r="A79" s="20" t="s">
        <v>743</v>
      </c>
      <c r="B79" s="20" t="s">
        <v>739</v>
      </c>
      <c r="C79" s="20" t="s">
        <v>744</v>
      </c>
      <c r="D79" s="16" t="s">
        <v>745</v>
      </c>
      <c r="E79" s="20" t="s">
        <v>464</v>
      </c>
      <c r="F79" s="20" t="s">
        <v>569</v>
      </c>
      <c r="G79" s="16" t="s">
        <v>746</v>
      </c>
    </row>
    <row r="80" customFormat="false" ht="68.25" hidden="false" customHeight="true" outlineLevel="0" collapsed="false">
      <c r="A80" s="20" t="s">
        <v>747</v>
      </c>
      <c r="B80" s="20" t="s">
        <v>379</v>
      </c>
      <c r="C80" s="20" t="s">
        <v>748</v>
      </c>
      <c r="D80" s="16" t="s">
        <v>749</v>
      </c>
      <c r="E80" s="20" t="s">
        <v>464</v>
      </c>
      <c r="F80" s="20" t="s">
        <v>453</v>
      </c>
      <c r="G80" s="16" t="s">
        <v>750</v>
      </c>
    </row>
    <row r="81" customFormat="false" ht="57" hidden="false" customHeight="true" outlineLevel="0" collapsed="false">
      <c r="A81" s="20" t="s">
        <v>751</v>
      </c>
      <c r="B81" s="20" t="s">
        <v>371</v>
      </c>
      <c r="C81" s="20" t="s">
        <v>752</v>
      </c>
      <c r="D81" s="16" t="s">
        <v>753</v>
      </c>
      <c r="E81" s="20" t="s">
        <v>464</v>
      </c>
      <c r="F81" s="20" t="s">
        <v>453</v>
      </c>
      <c r="G81" s="16" t="s">
        <v>754</v>
      </c>
    </row>
    <row r="82" customFormat="false" ht="68.25" hidden="false" customHeight="true" outlineLevel="0" collapsed="false">
      <c r="A82" s="20" t="s">
        <v>755</v>
      </c>
      <c r="B82" s="20" t="s">
        <v>367</v>
      </c>
      <c r="C82" s="20" t="s">
        <v>756</v>
      </c>
      <c r="D82" s="16" t="s">
        <v>757</v>
      </c>
      <c r="E82" s="20" t="s">
        <v>464</v>
      </c>
      <c r="F82" s="20" t="s">
        <v>453</v>
      </c>
      <c r="G82" s="16" t="s">
        <v>758</v>
      </c>
    </row>
    <row r="83" customFormat="false" ht="45.75" hidden="false" customHeight="true" outlineLevel="0" collapsed="false">
      <c r="A83" s="20" t="s">
        <v>759</v>
      </c>
      <c r="B83" s="20" t="s">
        <v>367</v>
      </c>
      <c r="C83" s="20" t="s">
        <v>760</v>
      </c>
      <c r="D83" s="16" t="s">
        <v>761</v>
      </c>
      <c r="E83" s="20" t="s">
        <v>461</v>
      </c>
      <c r="F83" s="20" t="s">
        <v>453</v>
      </c>
      <c r="G83" s="16" t="s">
        <v>762</v>
      </c>
    </row>
    <row r="84" customFormat="false" ht="45.75" hidden="false" customHeight="true" outlineLevel="0" collapsed="false">
      <c r="A84" s="20" t="s">
        <v>763</v>
      </c>
      <c r="B84" s="20" t="s">
        <v>351</v>
      </c>
      <c r="C84" s="20" t="s">
        <v>764</v>
      </c>
      <c r="D84" s="16" t="s">
        <v>765</v>
      </c>
      <c r="E84" s="20" t="s">
        <v>464</v>
      </c>
      <c r="F84" s="20" t="s">
        <v>453</v>
      </c>
      <c r="G84" s="16" t="s">
        <v>766</v>
      </c>
    </row>
    <row r="85" customFormat="false" ht="57" hidden="false" customHeight="true" outlineLevel="0" collapsed="false">
      <c r="A85" s="20" t="s">
        <v>767</v>
      </c>
      <c r="B85" s="20" t="s">
        <v>323</v>
      </c>
      <c r="C85" s="20" t="s">
        <v>768</v>
      </c>
      <c r="D85" s="16" t="s">
        <v>769</v>
      </c>
      <c r="E85" s="20" t="s">
        <v>452</v>
      </c>
      <c r="F85" s="20" t="s">
        <v>453</v>
      </c>
      <c r="G85" s="16" t="s">
        <v>770</v>
      </c>
    </row>
    <row r="86" customFormat="false" ht="45.75" hidden="false" customHeight="true" outlineLevel="0" collapsed="false">
      <c r="A86" s="20" t="s">
        <v>771</v>
      </c>
      <c r="B86" s="20" t="s">
        <v>323</v>
      </c>
      <c r="C86" s="20" t="s">
        <v>772</v>
      </c>
      <c r="D86" s="16" t="s">
        <v>773</v>
      </c>
      <c r="E86" s="20" t="s">
        <v>461</v>
      </c>
      <c r="F86" s="20" t="s">
        <v>453</v>
      </c>
      <c r="G86" s="16" t="s">
        <v>774</v>
      </c>
    </row>
    <row r="87" customFormat="false" ht="45.75" hidden="false" customHeight="true" outlineLevel="0" collapsed="false">
      <c r="A87" s="20" t="s">
        <v>775</v>
      </c>
      <c r="B87" s="20" t="s">
        <v>375</v>
      </c>
      <c r="C87" s="20" t="s">
        <v>776</v>
      </c>
      <c r="D87" s="16" t="s">
        <v>777</v>
      </c>
      <c r="E87" s="20" t="s">
        <v>464</v>
      </c>
      <c r="F87" s="20" t="s">
        <v>453</v>
      </c>
      <c r="G87" s="16" t="s">
        <v>778</v>
      </c>
    </row>
    <row r="88" customFormat="false" ht="68.25" hidden="false" customHeight="true" outlineLevel="0" collapsed="false">
      <c r="A88" s="20" t="s">
        <v>779</v>
      </c>
      <c r="B88" s="20" t="s">
        <v>379</v>
      </c>
      <c r="C88" s="20" t="s">
        <v>780</v>
      </c>
      <c r="D88" s="16" t="s">
        <v>781</v>
      </c>
      <c r="E88" s="20" t="s">
        <v>464</v>
      </c>
      <c r="F88" s="20" t="s">
        <v>453</v>
      </c>
      <c r="G88" s="16" t="s">
        <v>782</v>
      </c>
    </row>
    <row r="89" customFormat="false" ht="45.75" hidden="false" customHeight="true" outlineLevel="0" collapsed="false">
      <c r="A89" s="20" t="s">
        <v>783</v>
      </c>
      <c r="B89" s="20" t="s">
        <v>331</v>
      </c>
      <c r="C89" s="20" t="s">
        <v>784</v>
      </c>
      <c r="D89" s="16" t="s">
        <v>785</v>
      </c>
      <c r="E89" s="20" t="s">
        <v>461</v>
      </c>
      <c r="F89" s="20" t="s">
        <v>569</v>
      </c>
      <c r="G89" s="16" t="s">
        <v>786</v>
      </c>
    </row>
    <row r="90" customFormat="false" ht="79.5" hidden="false" customHeight="true" outlineLevel="0" collapsed="false">
      <c r="A90" s="20" t="s">
        <v>787</v>
      </c>
      <c r="B90" s="20" t="s">
        <v>279</v>
      </c>
      <c r="C90" s="20" t="s">
        <v>788</v>
      </c>
      <c r="D90" s="16" t="s">
        <v>789</v>
      </c>
      <c r="E90" s="20" t="s">
        <v>464</v>
      </c>
      <c r="F90" s="20" t="s">
        <v>453</v>
      </c>
      <c r="G90" s="16" t="s">
        <v>790</v>
      </c>
    </row>
    <row r="91" customFormat="false" ht="57" hidden="false" customHeight="true" outlineLevel="0" collapsed="false">
      <c r="A91" s="20" t="s">
        <v>791</v>
      </c>
      <c r="B91" s="20" t="s">
        <v>279</v>
      </c>
      <c r="C91" s="20" t="s">
        <v>788</v>
      </c>
      <c r="D91" s="16" t="s">
        <v>792</v>
      </c>
      <c r="E91" s="20" t="s">
        <v>464</v>
      </c>
      <c r="F91" s="20" t="s">
        <v>453</v>
      </c>
      <c r="G91" s="16" t="s">
        <v>793</v>
      </c>
    </row>
    <row r="92" customFormat="false" ht="102" hidden="false" customHeight="true" outlineLevel="0" collapsed="false">
      <c r="A92" s="20" t="s">
        <v>794</v>
      </c>
      <c r="B92" s="20" t="s">
        <v>291</v>
      </c>
      <c r="C92" s="20" t="s">
        <v>795</v>
      </c>
      <c r="D92" s="16" t="s">
        <v>796</v>
      </c>
      <c r="E92" s="20" t="s">
        <v>464</v>
      </c>
      <c r="F92" s="20" t="s">
        <v>453</v>
      </c>
      <c r="G92" s="16" t="s">
        <v>797</v>
      </c>
    </row>
    <row r="93" customFormat="false" ht="79.5" hidden="false" customHeight="true" outlineLevel="0" collapsed="false">
      <c r="A93" s="20" t="s">
        <v>798</v>
      </c>
      <c r="B93" s="20" t="s">
        <v>299</v>
      </c>
      <c r="C93" s="20" t="s">
        <v>799</v>
      </c>
      <c r="D93" s="16" t="s">
        <v>800</v>
      </c>
      <c r="E93" s="20" t="s">
        <v>464</v>
      </c>
      <c r="F93" s="20" t="s">
        <v>453</v>
      </c>
      <c r="G93" s="16" t="s">
        <v>801</v>
      </c>
    </row>
    <row r="94" customFormat="false" ht="157.5" hidden="false" customHeight="true" outlineLevel="0" collapsed="false">
      <c r="A94" s="20" t="s">
        <v>802</v>
      </c>
      <c r="B94" s="20" t="s">
        <v>291</v>
      </c>
      <c r="C94" s="20" t="s">
        <v>803</v>
      </c>
      <c r="D94" s="16" t="s">
        <v>804</v>
      </c>
      <c r="E94" s="20" t="s">
        <v>464</v>
      </c>
      <c r="F94" s="20" t="s">
        <v>453</v>
      </c>
      <c r="G94" s="16" t="s">
        <v>805</v>
      </c>
    </row>
    <row r="95" customFormat="false" ht="102" hidden="false" customHeight="true" outlineLevel="0" collapsed="false">
      <c r="A95" s="20" t="s">
        <v>806</v>
      </c>
      <c r="B95" s="20" t="s">
        <v>371</v>
      </c>
      <c r="C95" s="20" t="s">
        <v>807</v>
      </c>
      <c r="D95" s="16" t="s">
        <v>808</v>
      </c>
      <c r="E95" s="20" t="s">
        <v>464</v>
      </c>
      <c r="F95" s="20" t="s">
        <v>453</v>
      </c>
      <c r="G95" s="16" t="s">
        <v>809</v>
      </c>
    </row>
  </sheetData>
  <autoFilter ref="A3:G36"/>
  <conditionalFormatting sqref="E4:E23">
    <cfRule type="cellIs" priority="2" operator="equal" aboveAverage="0" equalAverage="0" bottom="0" percent="0" rank="0" text="" dxfId="13">
      <formula>"Critical"</formula>
    </cfRule>
  </conditionalFormatting>
  <conditionalFormatting sqref="F4:F23">
    <cfRule type="cellIs" priority="3" operator="equal" aboveAverage="0" equalAverage="0" bottom="0" percent="0" rank="0" text="" dxfId="8">
      <formula>"Fixed"</formula>
    </cfRule>
    <cfRule type="cellIs" priority="4" operator="equal" aboveAverage="0" equalAverage="0" bottom="0" percent="0" rank="0" text="" dxfId="9">
      <formula>"Open"</formula>
    </cfRule>
  </conditionalFormatting>
  <dataValidations count="1">
    <dataValidation allowBlank="true" errorStyle="stop" operator="between" showDropDown="false" showErrorMessage="false" showInputMessage="false" sqref="F4:F23" type="list">
      <formula1>"Open,In Progress,Fixed,Mitigated,Won't Fix"</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7"/>
    <col collapsed="false" customWidth="true" hidden="false" outlineLevel="0" max="2" min="2" style="1" width="16"/>
    <col collapsed="false" customWidth="true" hidden="false" outlineLevel="0" max="3" min="3" style="1" width="62"/>
    <col collapsed="false" customWidth="true" hidden="false" outlineLevel="0" max="4" min="4" style="1" width="74"/>
    <col collapsed="false" customWidth="true" hidden="false" outlineLevel="0" max="5" min="5" style="1" width="14"/>
    <col collapsed="false" customWidth="true" hidden="false" outlineLevel="0" max="6" min="6" style="1" width="12"/>
  </cols>
  <sheetData>
    <row r="1" customFormat="false" ht="17.25" hidden="false" customHeight="true" outlineLevel="0" collapsed="false">
      <c r="A1" s="2" t="s">
        <v>810</v>
      </c>
    </row>
    <row r="2" customFormat="false" ht="15" hidden="false" customHeight="true" outlineLevel="0" collapsed="false">
      <c r="A2" s="3" t="s">
        <v>811</v>
      </c>
    </row>
    <row r="4" customFormat="false" ht="15" hidden="false" customHeight="true" outlineLevel="0" collapsed="false">
      <c r="A4" s="4" t="s">
        <v>19</v>
      </c>
      <c r="B4" s="4" t="s">
        <v>812</v>
      </c>
      <c r="C4" s="4" t="s">
        <v>813</v>
      </c>
      <c r="D4" s="4" t="s">
        <v>814</v>
      </c>
      <c r="E4" s="4" t="s">
        <v>815</v>
      </c>
      <c r="F4" s="4" t="s">
        <v>22</v>
      </c>
    </row>
    <row r="5" customFormat="false" ht="61.5" hidden="false" customHeight="true" outlineLevel="0" collapsed="false">
      <c r="A5" s="6" t="s">
        <v>816</v>
      </c>
      <c r="B5" s="16" t="s">
        <v>817</v>
      </c>
      <c r="C5" s="16" t="s">
        <v>818</v>
      </c>
      <c r="D5" s="16" t="s">
        <v>819</v>
      </c>
      <c r="E5" s="6" t="s">
        <v>820</v>
      </c>
      <c r="F5" s="6" t="s">
        <v>569</v>
      </c>
    </row>
    <row r="6" customFormat="false" ht="61.5" hidden="false" customHeight="true" outlineLevel="0" collapsed="false">
      <c r="A6" s="6" t="s">
        <v>821</v>
      </c>
      <c r="B6" s="16" t="s">
        <v>822</v>
      </c>
      <c r="C6" s="16" t="s">
        <v>823</v>
      </c>
      <c r="D6" s="16" t="s">
        <v>824</v>
      </c>
      <c r="E6" s="6" t="s">
        <v>825</v>
      </c>
      <c r="F6" s="6" t="s">
        <v>826</v>
      </c>
    </row>
    <row r="7" customFormat="false" ht="61.5" hidden="false" customHeight="true" outlineLevel="0" collapsed="false">
      <c r="A7" s="6" t="s">
        <v>827</v>
      </c>
      <c r="B7" s="16" t="s">
        <v>828</v>
      </c>
      <c r="C7" s="16" t="s">
        <v>829</v>
      </c>
      <c r="D7" s="16" t="s">
        <v>830</v>
      </c>
      <c r="E7" s="6" t="s">
        <v>831</v>
      </c>
      <c r="F7" s="6" t="s">
        <v>508</v>
      </c>
    </row>
    <row r="8" customFormat="false" ht="61.5" hidden="false" customHeight="true" outlineLevel="0" collapsed="false">
      <c r="A8" s="6" t="s">
        <v>832</v>
      </c>
      <c r="B8" s="16" t="s">
        <v>833</v>
      </c>
      <c r="C8" s="16" t="s">
        <v>834</v>
      </c>
      <c r="D8" s="16" t="s">
        <v>835</v>
      </c>
      <c r="E8" s="6" t="s">
        <v>836</v>
      </c>
      <c r="F8" s="6" t="s">
        <v>508</v>
      </c>
    </row>
    <row r="9" customFormat="false" ht="61.5" hidden="false" customHeight="true" outlineLevel="0" collapsed="false">
      <c r="A9" s="6" t="s">
        <v>837</v>
      </c>
      <c r="B9" s="16" t="s">
        <v>838</v>
      </c>
      <c r="C9" s="16" t="s">
        <v>839</v>
      </c>
      <c r="D9" s="16" t="s">
        <v>840</v>
      </c>
      <c r="E9" s="6" t="s">
        <v>841</v>
      </c>
      <c r="F9" s="6" t="s">
        <v>569</v>
      </c>
    </row>
    <row r="10" customFormat="false" ht="61.5" hidden="false" customHeight="true" outlineLevel="0" collapsed="false">
      <c r="A10" s="6" t="s">
        <v>842</v>
      </c>
      <c r="B10" s="16" t="s">
        <v>838</v>
      </c>
      <c r="C10" s="16" t="s">
        <v>843</v>
      </c>
      <c r="D10" s="16" t="s">
        <v>844</v>
      </c>
      <c r="E10" s="6" t="s">
        <v>845</v>
      </c>
      <c r="F10" s="6" t="s">
        <v>569</v>
      </c>
    </row>
    <row r="11" customFormat="false" ht="61.5" hidden="false" customHeight="true" outlineLevel="0" collapsed="false">
      <c r="A11" s="6" t="s">
        <v>846</v>
      </c>
      <c r="B11" s="16" t="s">
        <v>847</v>
      </c>
      <c r="C11" s="16" t="s">
        <v>848</v>
      </c>
      <c r="D11" s="16" t="s">
        <v>849</v>
      </c>
      <c r="E11" s="6" t="s">
        <v>850</v>
      </c>
      <c r="F11" s="6" t="s">
        <v>826</v>
      </c>
    </row>
    <row r="12" customFormat="false" ht="61.5" hidden="false" customHeight="true" outlineLevel="0" collapsed="false">
      <c r="A12" s="6" t="s">
        <v>851</v>
      </c>
      <c r="B12" s="16" t="s">
        <v>852</v>
      </c>
      <c r="C12" s="16" t="s">
        <v>853</v>
      </c>
      <c r="D12" s="16" t="s">
        <v>854</v>
      </c>
      <c r="E12" s="6" t="s">
        <v>855</v>
      </c>
      <c r="F12" s="6" t="s">
        <v>569</v>
      </c>
    </row>
    <row r="13" customFormat="false" ht="34.5" hidden="false" customHeight="true" outlineLevel="0" collapsed="false">
      <c r="A13" s="20" t="s">
        <v>856</v>
      </c>
      <c r="B13" s="20" t="s">
        <v>847</v>
      </c>
      <c r="C13" s="16" t="s">
        <v>857</v>
      </c>
      <c r="D13" s="16" t="s">
        <v>858</v>
      </c>
      <c r="E13" s="20" t="s">
        <v>859</v>
      </c>
      <c r="F13" s="20" t="s">
        <v>569</v>
      </c>
    </row>
    <row r="14" customFormat="false" ht="23.25" hidden="false" customHeight="true" outlineLevel="0" collapsed="false">
      <c r="A14" s="20" t="s">
        <v>860</v>
      </c>
      <c r="B14" s="20" t="s">
        <v>852</v>
      </c>
      <c r="C14" s="16" t="s">
        <v>861</v>
      </c>
      <c r="D14" s="16" t="s">
        <v>862</v>
      </c>
      <c r="E14" s="20" t="s">
        <v>863</v>
      </c>
      <c r="F14" s="20" t="s">
        <v>569</v>
      </c>
    </row>
    <row r="15" customFormat="false" ht="23.25" hidden="false" customHeight="true" outlineLevel="0" collapsed="false">
      <c r="A15" s="20" t="s">
        <v>864</v>
      </c>
      <c r="B15" s="20" t="s">
        <v>865</v>
      </c>
      <c r="C15" s="16" t="s">
        <v>866</v>
      </c>
      <c r="D15" s="16" t="s">
        <v>867</v>
      </c>
      <c r="E15" s="20" t="s">
        <v>868</v>
      </c>
      <c r="F15" s="20" t="s">
        <v>569</v>
      </c>
    </row>
    <row r="16" customFormat="false" ht="34.5" hidden="false" customHeight="true" outlineLevel="0" collapsed="false">
      <c r="A16" s="20" t="s">
        <v>869</v>
      </c>
      <c r="B16" s="20" t="s">
        <v>817</v>
      </c>
      <c r="C16" s="16" t="s">
        <v>870</v>
      </c>
      <c r="D16" s="16" t="s">
        <v>871</v>
      </c>
      <c r="E16" s="20" t="s">
        <v>872</v>
      </c>
      <c r="F16" s="20" t="s">
        <v>569</v>
      </c>
    </row>
    <row r="17" customFormat="false" ht="34.5" hidden="false" customHeight="true" outlineLevel="0" collapsed="false">
      <c r="A17" s="20" t="s">
        <v>873</v>
      </c>
      <c r="B17" s="20" t="s">
        <v>838</v>
      </c>
      <c r="C17" s="16" t="s">
        <v>874</v>
      </c>
      <c r="D17" s="16" t="s">
        <v>875</v>
      </c>
      <c r="E17" s="20" t="s">
        <v>876</v>
      </c>
      <c r="F17" s="20" t="s">
        <v>569</v>
      </c>
    </row>
    <row r="18" customFormat="false" ht="23.25" hidden="false" customHeight="true" outlineLevel="0" collapsed="false">
      <c r="A18" s="20" t="s">
        <v>877</v>
      </c>
      <c r="B18" s="20" t="s">
        <v>847</v>
      </c>
      <c r="C18" s="16" t="s">
        <v>878</v>
      </c>
      <c r="D18" s="16" t="s">
        <v>879</v>
      </c>
      <c r="E18" s="20" t="s">
        <v>880</v>
      </c>
      <c r="F18" s="20" t="s">
        <v>569</v>
      </c>
    </row>
    <row r="19" customFormat="false" ht="34.5" hidden="false" customHeight="true" outlineLevel="0" collapsed="false">
      <c r="A19" s="20" t="s">
        <v>881</v>
      </c>
      <c r="B19" s="20" t="s">
        <v>882</v>
      </c>
      <c r="C19" s="16" t="s">
        <v>883</v>
      </c>
      <c r="D19" s="16" t="s">
        <v>884</v>
      </c>
      <c r="E19" s="20" t="s">
        <v>885</v>
      </c>
      <c r="F19" s="20" t="s">
        <v>569</v>
      </c>
    </row>
    <row r="20" customFormat="false" ht="34.5" hidden="false" customHeight="true" outlineLevel="0" collapsed="false">
      <c r="A20" s="20" t="s">
        <v>886</v>
      </c>
      <c r="B20" s="20" t="s">
        <v>887</v>
      </c>
      <c r="C20" s="16" t="s">
        <v>888</v>
      </c>
      <c r="D20" s="16" t="s">
        <v>889</v>
      </c>
      <c r="E20" s="20" t="s">
        <v>890</v>
      </c>
      <c r="F20" s="20" t="s">
        <v>826</v>
      </c>
    </row>
    <row r="21" customFormat="false" ht="45.75" hidden="false" customHeight="true" outlineLevel="0" collapsed="false">
      <c r="A21" s="20" t="s">
        <v>891</v>
      </c>
      <c r="B21" s="20" t="s">
        <v>892</v>
      </c>
      <c r="C21" s="16" t="s">
        <v>893</v>
      </c>
      <c r="D21" s="16" t="s">
        <v>894</v>
      </c>
      <c r="E21" s="20" t="s">
        <v>895</v>
      </c>
      <c r="F21" s="20" t="s">
        <v>508</v>
      </c>
    </row>
    <row r="22" customFormat="false" ht="45.75" hidden="false" customHeight="true" outlineLevel="0" collapsed="false">
      <c r="A22" s="20" t="s">
        <v>896</v>
      </c>
      <c r="B22" s="20" t="s">
        <v>897</v>
      </c>
      <c r="C22" s="16" t="s">
        <v>898</v>
      </c>
      <c r="D22" s="16" t="s">
        <v>899</v>
      </c>
      <c r="E22" s="20" t="s">
        <v>900</v>
      </c>
      <c r="F22" s="20" t="s">
        <v>569</v>
      </c>
    </row>
    <row r="23" customFormat="false" ht="57" hidden="false" customHeight="true" outlineLevel="0" collapsed="false">
      <c r="A23" s="20" t="s">
        <v>901</v>
      </c>
      <c r="B23" s="20" t="s">
        <v>902</v>
      </c>
      <c r="C23" s="16" t="s">
        <v>903</v>
      </c>
      <c r="D23" s="16" t="s">
        <v>904</v>
      </c>
      <c r="E23" s="20" t="s">
        <v>905</v>
      </c>
      <c r="F23" s="20" t="s">
        <v>569</v>
      </c>
    </row>
  </sheetData>
  <dataValidations count="1">
    <dataValidation allowBlank="true" errorStyle="stop" operator="between" showDropDown="false" showErrorMessage="false" showInputMessage="false" sqref="F5:F12" type="list">
      <formula1>"Open,Addressed,Verified"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2026-08-13T13:18:08Z</dcterms:created>
  <dc:creator>openpyxl</dc:creator>
  <dc:description/>
  <dc:language>en-US</dc:language>
  <cp:lastModifiedBy/>
  <dcterms:modified xsi:type="dcterms:W3CDTF">2026-08-30T19:03:21Z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