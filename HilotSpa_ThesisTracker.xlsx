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sks" sheetId="2" state="visible" r:id="rId4"/>
    <sheet name="Bugs" sheetId="3" state="visible" r:id="rId5"/>
    <sheet name="Defense Risks" sheetId="4" state="visible" r:id="rId6"/>
  </sheets>
  <definedNames>
    <definedName function="false" hidden="true" localSheetId="2" name="_xlnm._FilterDatabase" vbProcedure="false">Bugs!$A$3:$G$36</definedName>
    <definedName function="false" hidden="true" localSheetId="1" name="_xlnm._FilterDatabase" vbProcedure="false">Tasks!$A$4:$G$44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<sst xmlns="http://schemas.openxmlformats.org/spreadsheetml/2006/main" count="766" uniqueCount="481">
  <si>
    <t xml:space="preserve">HilotSpa — Progress Summary</t>
  </si>
  <si>
    <t xml:space="preserve">Live formulas over the Tasks and Bugs sheets. Values last recalculated 2026-08-20.</t>
  </si>
  <si>
    <t xml:space="preserve">Sprint</t>
  </si>
  <si>
    <t xml:space="preserve">Total</t>
  </si>
  <si>
    <t xml:space="preserve">Done</t>
  </si>
  <si>
    <t xml:space="preserve">In Progress</t>
  </si>
  <si>
    <t xml:space="preserve">Not Started</t>
  </si>
  <si>
    <t xml:space="preserve">Blocked</t>
  </si>
  <si>
    <t xml:space="preserve">% Complete</t>
  </si>
  <si>
    <t xml:space="preserve">Sprint 0</t>
  </si>
  <si>
    <t xml:space="preserve">Sprint 1</t>
  </si>
  <si>
    <t xml:space="preserve">Sprint 2</t>
  </si>
  <si>
    <t xml:space="preserve">Sprint 3</t>
  </si>
  <si>
    <t xml:space="preserve">Sprint 4</t>
  </si>
  <si>
    <t xml:space="preserve">TOTAL</t>
  </si>
  <si>
    <t xml:space="preserve">Open bugs</t>
  </si>
  <si>
    <t xml:space="preserve">Critical open</t>
  </si>
  <si>
    <t xml:space="preserve">HilotSpa — Task Tracker</t>
  </si>
  <si>
    <t xml:space="preserve">Statuses: Not Started / In Progress / Done / Blocked / N/A  (dropdown in column E)</t>
  </si>
  <si>
    <t xml:space="preserve">ID</t>
  </si>
  <si>
    <t xml:space="preserve">Task</t>
  </si>
  <si>
    <t xml:space="preserve">Detail</t>
  </si>
  <si>
    <t xml:space="preserve">Status</t>
  </si>
  <si>
    <t xml:space="preserve">Owner</t>
  </si>
  <si>
    <t xml:space="preserve">Notes</t>
  </si>
  <si>
    <t xml:space="preserve">0.1</t>
  </si>
  <si>
    <t xml:space="preserve">Fix trivial model bugs</t>
  </si>
  <si>
    <t xml:space="preserve">FormsRepository return types, User.demographics OneToOne, massage table typo, durationMinute, compose.yaml space</t>
  </si>
  <si>
    <t xml:space="preserve">Liodoq</t>
  </si>
  <si>
    <t xml:space="preserve">Reviewed and confirmed correct.</t>
  </si>
  <si>
    <t xml:space="preserve">0.2</t>
  </si>
  <si>
    <t xml:space="preserve">Invert Forms &lt;-&gt; PatientIntake to one-to-many</t>
  </si>
  <si>
    <t xml:space="preserve">A form must hold MANY pain points. Touches Forms, PatientIntake, FormsModel, both repositories, FormsServiceImpl, FormsTransformImpl.</t>
  </si>
  <si>
    <t xml:space="preserve">Closed. B6-B11 all fixed. Aggregate-root design: Forms is the only door into pain points.</t>
  </si>
  <si>
    <t xml:space="preserve">0.3</t>
  </si>
  <si>
    <t xml:space="preserve">Migrate all primary keys to UUID</t>
  </si>
  <si>
    <t xml:space="preserve">Highest-leverage item. Integer IDs collide across branch nodes and make P2P sync impossible.</t>
  </si>
  <si>
    <t xml:space="preserve">Claude</t>
  </si>
  <si>
    <t xml:space="preserve">All 36 files migrated. Domain Integers (painScore, coords, age, height, weight, durationMinute) intentionally left as Integer.</t>
  </si>
  <si>
    <t xml:space="preserve">0.4</t>
  </si>
  <si>
    <t xml:space="preserve">Add security fields to User</t>
  </si>
  <si>
    <t xml:space="preserve">passwordHash, enabled, branch FK, role as @Enumerated enum CUSTOMER/STAFF/ADMIN.</t>
  </si>
  <si>
    <t xml:space="preserve">passwordHash, enabled, branch FK, role as @Enumerated(EnumType.STRING) enum. Branch resolved in create + update.</t>
  </si>
  <si>
    <t xml:space="preserve">0.5</t>
  </si>
  <si>
    <t xml:space="preserve">Add the missing core entities</t>
  </si>
  <si>
    <t xml:space="preserve">Appointment, Therapist, Room, ServiceProtocol, Contraindication, AuditLog.</t>
  </si>
  <si>
    <t xml:space="preserve">ALL of 0.5 complete. 18 entities, 11 repositories. Therapist, Room, ServiceProtocol (+ProtocolRule), Appointment (+AppointmentStatus/PaymentStatus/BookingSource), AuditLog, ComplaintType. App boots clean against a live schema.</t>
  </si>
  <si>
    <t xml:space="preserve">0.6</t>
  </si>
  <si>
    <t xml:space="preserve">Spring Security + JWT + RBAC</t>
  </si>
  <si>
    <t xml:space="preserve">Satisfies FR#4 and Process Rules #1 and #5. Staff restricted to their own Branch ID at query level.</t>
  </si>
  <si>
    <t xml:space="preserve">Liodoq+Claude</t>
  </si>
  <si>
    <t xml:space="preserve">Auth, RBAC endpoint rules, and query-level branch scoping all shipped (0.6a-0.6c-2). B29/B30 closed.</t>
  </si>
  <si>
    <t xml:space="preserve">0.7</t>
  </si>
  <si>
    <t xml:space="preserve">Infra: Flyway, Redis, secrets</t>
  </si>
  <si>
    <t xml:space="preserve">Flyway so every node shares an identical schema. Redis into pom.xml + compose.yaml.</t>
  </si>
  <si>
    <t xml:space="preserve">Secrets/.env done. Flyway NOT started, Redis deferred to Sprint 2. ddl-auto=update is still what builds the schema.</t>
  </si>
  <si>
    <t xml:space="preserve">0.8</t>
  </si>
  <si>
    <t xml:space="preserve">Scaffold the Angular project</t>
  </si>
  <si>
    <t xml:space="preserve">Fresh Angular app + Tailwind, wired to the backend.</t>
  </si>
  <si>
    <t xml:space="preserve">Angular 21.2 + Tailwind 4, committed 2169414 / d82f8ae.</t>
  </si>
  <si>
    <t xml:space="preserve">1.1</t>
  </si>
  <si>
    <t xml:space="preserve">2D body map component (front + back SVG)</t>
  </si>
  <si>
    <t xml:space="preserve">Angular canvas/SVG. Paper Scope: '2D Visualization of front and back body parts'.</t>
  </si>
  <si>
    <t xml:space="preserve">shared/body-map — front and back SVG, percentage coordinates.</t>
  </si>
  <si>
    <t xml:space="preserve">1.2</t>
  </si>
  <si>
    <t xml:space="preserve">Tap-to-place pain markers with severity</t>
  </si>
  <si>
    <t xml:space="preserve">Marker stores bodyView, anatomicalRegion, x, y, painScore 1-10.</t>
  </si>
  <si>
    <t xml:space="preserve">Tap to place, drag-free severity 1-10, remove, region auto-guess with an editable dropdown.</t>
  </si>
  <si>
    <t xml:space="preserve">1.3</t>
  </si>
  <si>
    <t xml:space="preserve">25-item complaint checklist</t>
  </si>
  <si>
    <t xml:space="preserve">Neck Pain ... TMJ Disorder + Others. Exact list from paper Scope + Appendix A.</t>
  </si>
  <si>
    <t xml:space="preserve">All 24 conditions + Others, verbatim from Appendix A, with live filtering.</t>
  </si>
  <si>
    <t xml:space="preserve">1.4</t>
  </si>
  <si>
    <t xml:space="preserve">Pain vs Leisure fork on first screen</t>
  </si>
  <si>
    <t xml:space="preserve">Leisure path completes an assessment in one tap. Resolves the Process Rule #2 contradiction.</t>
  </si>
  <si>
    <t xml:space="preserve">C2 built. intent is recorded on Forms (H6), so the leisure path is a real, distinguishable record.</t>
  </si>
  <si>
    <t xml:space="preserve">1.5</t>
  </si>
  <si>
    <t xml:space="preserve">Age-inclusive styling</t>
  </si>
  <si>
    <t xml:space="preserve">High contrast, &gt;=18px base font, &gt;=44px touch targets, warm palette, simplified navigation.</t>
  </si>
  <si>
    <t xml:space="preserve">13 tokens, 68px targets, 6.88:1 brand contrast, prefers-reduced-motion. Evidence in paper-deltas SS I.</t>
  </si>
  <si>
    <t xml:space="preserve">1.6</t>
  </si>
  <si>
    <t xml:space="preserve">Demographics capture screen</t>
  </si>
  <si>
    <t xml:space="preserve">Age, sex, status, height, weight, birthdate. Mirrors the paper intake form.</t>
  </si>
  <si>
    <t xml:space="preserve">C3 built. NOTE: a CUSTOMER cannot save it yet - see B43.</t>
  </si>
  <si>
    <t xml:space="preserve">1.7</t>
  </si>
  <si>
    <t xml:space="preserve">Submit form + pain points to backend</t>
  </si>
  <si>
    <t xml:space="preserve">Single POST carrying form and its painPoints array.</t>
  </si>
  <si>
    <t xml:space="preserve">C7 posts the whole assessment in one request. NEVER PROVEN END TO END - no row confirmed in Postgres yet.</t>
  </si>
  <si>
    <t xml:space="preserve">2.1</t>
  </si>
  <si>
    <t xml:space="preserve">Redis temporary resource locking</t>
  </si>
  <si>
    <t xml:space="preserve">Lock therapist + room + slot with a TTL while booking is in progress.</t>
  </si>
  <si>
    <t xml:space="preserve">Process Rule #4.</t>
  </si>
  <si>
    <t xml:space="preserve">2.2</t>
  </si>
  <si>
    <t xml:space="preserve">n8n workflow scaffolding</t>
  </si>
  <si>
    <t xml:space="preserve">Assemble prompt -&gt; call Gemini -&gt; validate response -&gt; write booking.</t>
  </si>
  <si>
    <t xml:space="preserve">Table 6.</t>
  </si>
  <si>
    <t xml:space="preserve">2.3</t>
  </si>
  <si>
    <t xml:space="preserve">Gemini call with constrained structured output</t>
  </si>
  <si>
    <t xml:space="preserve">recommendedServiceId is an enum of real catalog UUIDs so the model cannot invent a service.</t>
  </si>
  <si>
    <t xml:space="preserve">See Defense Risks R3.</t>
  </si>
  <si>
    <t xml:space="preserve">2.4</t>
  </si>
  <si>
    <t xml:space="preserve">Contraindication filter applied BEFORE the AI call</t>
  </si>
  <si>
    <t xml:space="preserve">Deterministic table authored by the spa. AI only ever sees an already-safe list.</t>
  </si>
  <si>
    <t xml:space="preserve">See Defense Risks R4.</t>
  </si>
  <si>
    <t xml:space="preserve">2.5</t>
  </si>
  <si>
    <t xml:space="preserve">Chat UI</t>
  </si>
  <si>
    <t xml:space="preserve">Task-first, short structured replies, not chatty. Supported by [10].</t>
  </si>
  <si>
    <t xml:space="preserve">C9 chat UI built with mic + subtitles. Replies are canned; no n8n, no Gemini.</t>
  </si>
  <si>
    <t xml:space="preserve">2.6</t>
  </si>
  <si>
    <t xml:space="preserve">Virtual voice + subtitles</t>
  </si>
  <si>
    <t xml:space="preserve">Web Speech API: SpeechSynthesis out, SpeechRecognition in.</t>
  </si>
  <si>
    <t xml:space="preserve">Explicitly in the paper Scope. Easy to forget.</t>
  </si>
  <si>
    <t xml:space="preserve">2.7</t>
  </si>
  <si>
    <t xml:space="preserve">Conversational booking creates an Appointment</t>
  </si>
  <si>
    <t xml:space="preserve">Negotiate slot against branch resources, then confirm and persist.</t>
  </si>
  <si>
    <t xml:space="preserve">FR#2</t>
  </si>
  <si>
    <t xml:space="preserve">2.8</t>
  </si>
  <si>
    <t xml:space="preserve">Taglish / code-switch handling</t>
  </si>
  <si>
    <t xml:space="preserve">System prompt instructs code-switched Filipino-English. Demo this at defense.</t>
  </si>
  <si>
    <t xml:space="preserve">Ties reference [35] to the artifact.</t>
  </si>
  <si>
    <t xml:space="preserve">3.1</t>
  </si>
  <si>
    <t xml:space="preserve">Append-only sync_log table</t>
  </si>
  <si>
    <t xml:space="preserve">nodeId + monotonic sequenceNo per node. Peers pull everything after seq N.</t>
  </si>
  <si>
    <t xml:space="preserve">Requires UUID keys (0.3).</t>
  </si>
  <si>
    <t xml:space="preserve">3.2</t>
  </si>
  <si>
    <t xml:space="preserve">Node registry</t>
  </si>
  <si>
    <t xml:space="preserve">Each node knows its peers' addresses and last-seen sequence numbers.</t>
  </si>
  <si>
    <t xml:space="preserve">3.3</t>
  </si>
  <si>
    <t xml:space="preserve">Pull-based gossip between peers</t>
  </si>
  <si>
    <t xml:space="preserve">Broadcast local changes, pull remote changes, apply to read-only replicas.</t>
  </si>
  <si>
    <t xml:space="preserve">FR#3</t>
  </si>
  <si>
    <t xml:space="preserve">3.4</t>
  </si>
  <si>
    <t xml:space="preserve">Enforce single-writer-per-partition</t>
  </si>
  <si>
    <t xml:space="preserve">A node may only write resources it owns. Makes split-brain structurally impossible.</t>
  </si>
  <si>
    <t xml:space="preserve">See Defense Risks R1. THE core architectural argument.</t>
  </si>
  <si>
    <t xml:space="preserve">3.5</t>
  </si>
  <si>
    <t xml:space="preserve">Admin aggregated dashboard</t>
  </si>
  <si>
    <t xml:space="preserve">Global view across all branch nodes.</t>
  </si>
  <si>
    <t xml:space="preserve">A1 built. Node figures are placeholder - there is no sync to aggregate.</t>
  </si>
  <si>
    <t xml:space="preserve">3.6</t>
  </si>
  <si>
    <t xml:space="preserve">Context switch into a specific branch</t>
  </si>
  <si>
    <t xml:space="preserve">Admin loads a branch's local dashboard.</t>
  </si>
  <si>
    <t xml:space="preserve">A2 built (context switching UI). Opening a branch reuses S1.</t>
  </si>
  <si>
    <t xml:space="preserve">3.7</t>
  </si>
  <si>
    <t xml:space="preserve">Offline mode + visible status banner</t>
  </si>
  <si>
    <t xml:space="preserve">Branch keeps booking its own resources with no internet. Syncs on reconnect.</t>
  </si>
  <si>
    <t xml:space="preserve">X1 banner built into DashShell with a manual toggle on S1. No real offline detection.</t>
  </si>
  <si>
    <t xml:space="preserve">3.8</t>
  </si>
  <si>
    <t xml:space="preserve">Global configuration broadcast</t>
  </si>
  <si>
    <t xml:space="preserve">Admin edits service menu / pricing, broadcast to all nodes.</t>
  </si>
  <si>
    <t xml:space="preserve">A4 built incl. the service-protocol editor (X2). No broadcast mechanism yet.</t>
  </si>
  <si>
    <t xml:space="preserve">3.9</t>
  </si>
  <si>
    <t xml:space="preserve">Audit log generation</t>
  </si>
  <si>
    <t xml:space="preserve">Per-node audit trail, aggregated for the admin.</t>
  </si>
  <si>
    <t xml:space="preserve">A5 built. AuditLog entity exists; nothing writes to it yet.</t>
  </si>
  <si>
    <t xml:space="preserve">3.10</t>
  </si>
  <si>
    <t xml:space="preserve">Stand up a SECOND node for the demo</t>
  </si>
  <si>
    <t xml:space="preserve">Second laptop or VM on the same LAN. You cannot demo decentralization with one node.</t>
  </si>
  <si>
    <t xml:space="preserve">Research locale names only one branch. See Defense Risks R5.</t>
  </si>
  <si>
    <t xml:space="preserve">4.1</t>
  </si>
  <si>
    <t xml:space="preserve">Pre-implementation baseline timing</t>
  </si>
  <si>
    <t xml:space="preserve">Stopwatch ~20 real clients on the manual workflow BEFORE deployment.</t>
  </si>
  <si>
    <t xml:space="preserve">Paper claims 10-15 min manual intake. Prove it.</t>
  </si>
  <si>
    <t xml:space="preserve">4.2</t>
  </si>
  <si>
    <t xml:space="preserve">TAM instrument (validated item set)</t>
  </si>
  <si>
    <t xml:space="preserve">Perceived Ease of Use + Perceived Usefulness, 5-point Likert. Use Davis/Venkatesh items and cite.</t>
  </si>
  <si>
    <t xml:space="preserve">4.3</t>
  </si>
  <si>
    <t xml:space="preserve">CUQ instrument (real 16 items)</t>
  </si>
  <si>
    <t xml:space="preserve">Holmes et al. 16 alternating positive/negative items with the official 0-100 scoring formula.</t>
  </si>
  <si>
    <t xml:space="preserve">Do not invent your own questions.</t>
  </si>
  <si>
    <t xml:space="preserve">4.4</t>
  </si>
  <si>
    <t xml:space="preserve">Technical &amp; Operational Checklist</t>
  </si>
  <si>
    <t xml:space="preserve">AI-vs-therapist agreement rate, 0 out-of-catalog outputs, sync latency, offline recovery time.</t>
  </si>
  <si>
    <t xml:space="preserve">This is how you measure 'AI reliability'. See Defense Risks R6.</t>
  </si>
  <si>
    <t xml:space="preserve">4.5</t>
  </si>
  <si>
    <t xml:space="preserve">Run UAT with customers, staff, admin</t>
  </si>
  <si>
    <t xml:space="preserve">Non-probability sampling across the three role groups.</t>
  </si>
  <si>
    <t xml:space="preserve">4.6</t>
  </si>
  <si>
    <t xml:space="preserve">Weighted mean + frequency analysis</t>
  </si>
  <si>
    <t xml:space="preserve">Apply the paper's Likert interpretation guide.</t>
  </si>
  <si>
    <t xml:space="preserve">4.7</t>
  </si>
  <si>
    <t xml:space="preserve">Write Chapter IV</t>
  </si>
  <si>
    <t xml:space="preserve">Before/after tables, TAM/CUQ results, checklist results.</t>
  </si>
  <si>
    <t xml:space="preserve">0.9</t>
  </si>
  <si>
    <t xml:space="preserve">Six schema corrections from Appendix A</t>
  </si>
  <si>
    <t xml:space="preserve">H1-H6 in paper-deltas: intent, AnatomicalRegion, BodyView, occupation, medicalHistory/therapyDetail, painScoreBefore/After.</t>
  </si>
  <si>
    <t xml:space="preserve">1 of 6 done (H6 intent). The other five block C3-C7 from storing what they collect.</t>
  </si>
  <si>
    <t xml:space="preserve">1.8</t>
  </si>
  <si>
    <t xml:space="preserve">Design tokens + interaction layer</t>
  </si>
  <si>
    <t xml:space="preserve">tailwind.css @theme static, styles.scss vocabulary, interactions.scss (hover, focus rings, reduced motion).</t>
  </si>
  <si>
    <t xml:space="preserve">Same token names as the Figma HilotSpa collection, so design and code cannot drift.</t>
  </si>
  <si>
    <t xml:space="preserve">1.9</t>
  </si>
  <si>
    <t xml:space="preserve">Auth screens P1 + P2 wired to the API</t>
  </si>
  <si>
    <t xml:space="preserve">Login, register, JWT interceptor, auth guard, role-aware landing.</t>
  </si>
  <si>
    <t xml:space="preserve">Errors deliberately vague on login so emails cannot be enumerated.</t>
  </si>
  <si>
    <t xml:space="preserve">1.10</t>
  </si>
  <si>
    <t xml:space="preserve">Assessment wizard shell + single-write store</t>
  </si>
  <si>
    <t xml:space="preserve">Shell (topbar/progress/footer), AssessmentStore holding one draft across C2-C7.</t>
  </si>
  <si>
    <t xml:space="preserve">Forms is an aggregate root, so the UI posts once. Six components each calling the API would contradict the schema.</t>
  </si>
  <si>
    <t xml:space="preserve">1.11</t>
  </si>
  <si>
    <t xml:space="preserve">Prove one assessment round-trips into Postgres</t>
  </si>
  <si>
    <t xml:space="preserve">Submit from C7, confirm the forms row and its patient_intake children exist.</t>
  </si>
  <si>
    <t xml:space="preserve">The only thing that makes Sprint 1 actually finished.</t>
  </si>
  <si>
    <t xml:space="preserve">2.9</t>
  </si>
  <si>
    <t xml:space="preserve">C8 Services screen with visible contraindication filtering</t>
  </si>
  <si>
    <t xml:space="preserve">Excluded services shown greyed with the reason and the practitioner named.</t>
  </si>
  <si>
    <t xml:space="preserve">UI done against placeholder data. Needs ServiceProtocol populated.</t>
  </si>
  <si>
    <t xml:space="preserve">3.11</t>
  </si>
  <si>
    <t xml:space="preserve">Staff screens S1-S5</t>
  </si>
  <si>
    <t xml:space="preserve">Dashboard, queue, therapist/room status, pre-assessment report, walk-in.</t>
  </si>
  <si>
    <t xml:space="preserve">UI complete and interactive. All data is core/demo.ts.</t>
  </si>
  <si>
    <t xml:space="preserve">3.12</t>
  </si>
  <si>
    <t xml:space="preserve">Admin screens A1-A5</t>
  </si>
  <si>
    <t xml:space="preserve">Node overview, context switch, accounts, configuration, audit log.</t>
  </si>
  <si>
    <t xml:space="preserve">4.8</t>
  </si>
  <si>
    <t xml:space="preserve">Treatment-history review at the spa</t>
  </si>
  <si>
    <t xml:space="preserve">De-identified complaint -&gt; service for a defined window. Feeds ServiceProtocol and the agreement-rate metric.</t>
  </si>
  <si>
    <t xml:space="preserve">Permission signed 19 Aug. Desk work, not fieldwork.</t>
  </si>
  <si>
    <t xml:space="preserve">4.9</t>
  </si>
  <si>
    <t xml:space="preserve">Get the ServiceProtocol table signed</t>
  </si>
  <si>
    <t xml:space="preserve">Reviewed and signed by Gary O. Trinidad, the bone setter named on the intake form.</t>
  </si>
  <si>
    <t xml:space="preserve">This is what makes "we do not give medical advice" true rather than asserted.</t>
  </si>
  <si>
    <t xml:space="preserve">4.10</t>
  </si>
  <si>
    <t xml:space="preserve">Adviser sign-off on the methodology change (SS A1)</t>
  </si>
  <si>
    <t xml:space="preserve">The retrospective records review is not in the frozen Chapter 3.</t>
  </si>
  <si>
    <t xml:space="preserve">Has a human response time you do not control. Send it before collecting anything.</t>
  </si>
  <si>
    <t xml:space="preserve">4.11</t>
  </si>
  <si>
    <t xml:space="preserve">Resolve the locale name and the disclosure (SS A3, A4)</t>
  </si>
  <si>
    <t xml:space="preserve">Knead Wellness Spa vs Hilotin Spa and Wellness Center; researcher/owner surname relationship; letter dated July 20.</t>
  </si>
  <si>
    <t xml:space="preserve">Three sentences of paper text, one adviser decision, one corrected date.</t>
  </si>
  <si>
    <t xml:space="preserve">HilotSpa — Bug &amp; Finding Log</t>
  </si>
  <si>
    <t xml:space="preserve">Where</t>
  </si>
  <si>
    <t xml:space="preserve">Problem</t>
  </si>
  <si>
    <t xml:space="preserve">Severity</t>
  </si>
  <si>
    <t xml:space="preserve">B1</t>
  </si>
  <si>
    <t xml:space="preserve">FormsRepository</t>
  </si>
  <si>
    <t xml:space="preserve">findBy* returned List&lt;Repository&gt; instead of List&lt;Forms&gt;</t>
  </si>
  <si>
    <t xml:space="preserve">Critical</t>
  </si>
  <si>
    <t xml:space="preserve">Fixed</t>
  </si>
  <si>
    <t xml:space="preserve">Would fail at application startup.</t>
  </si>
  <si>
    <t xml:space="preserve">B2</t>
  </si>
  <si>
    <t xml:space="preserve">User.java</t>
  </si>
  <si>
    <t xml:space="preserve">@OneToOne mapped to a List&lt;Demographics&gt;</t>
  </si>
  <si>
    <t xml:space="preserve">B3</t>
  </si>
  <si>
    <t xml:space="preserve">Massage.java</t>
  </si>
  <si>
    <t xml:space="preserve">Table name typo "masasage"</t>
  </si>
  <si>
    <t xml:space="preserve">Minor</t>
  </si>
  <si>
    <t xml:space="preserve">B4</t>
  </si>
  <si>
    <t xml:space="preserve">LocalTime used to represent a duration</t>
  </si>
  <si>
    <t xml:space="preserve">Major</t>
  </si>
  <si>
    <t xml:space="preserve">Now durationMinute.</t>
  </si>
  <si>
    <t xml:space="preserve">B5</t>
  </si>
  <si>
    <t xml:space="preserve">compose.yaml</t>
  </si>
  <si>
    <t xml:space="preserve">Leading space parsed into the JDBC URL</t>
  </si>
  <si>
    <t xml:space="preserve">B6</t>
  </si>
  <si>
    <t xml:space="preserve">Forms / PatientIntake</t>
  </si>
  <si>
    <t xml:space="preserve">Relationship inverted; capped every form at one pain point</t>
  </si>
  <si>
    <t xml:space="preserve">Entities and models now correct.</t>
  </si>
  <si>
    <t xml:space="preserve">B7</t>
  </si>
  <si>
    <t xml:space="preserve">Forms.java</t>
  </si>
  <si>
    <t xml:space="preserve">OLD @ManyToOne PatientIntake field was never deleted</t>
  </si>
  <si>
    <t xml:space="preserve">Fixed. Circular NOT NULL FK resolved.</t>
  </si>
  <si>
    <t xml:space="preserve">B8</t>
  </si>
  <si>
    <t xml:space="preserve">findByPatientIntakeId still present</t>
  </si>
  <si>
    <t xml:space="preserve">Will not resolve once B7 is fixed. Delete the method.</t>
  </si>
  <si>
    <t xml:space="preserve">B9</t>
  </si>
  <si>
    <t xml:space="preserve">PatientIntakeTransformImpl</t>
  </si>
  <si>
    <t xml:space="preserve">bodyView not mapped in either direction</t>
  </si>
  <si>
    <t xml:space="preserve">Body view was silently lost on every save and read. Mapped both directions.</t>
  </si>
  <si>
    <t xml:space="preserve">B10</t>
  </si>
  <si>
    <t xml:space="preserve">FormsTransformImpl</t>
  </si>
  <si>
    <t xml:space="preserve">formsModel.setId() never called</t>
  </si>
  <si>
    <t xml:space="preserve">Frontend gets no form ID back.</t>
  </si>
  <si>
    <t xml:space="preserve">B11</t>
  </si>
  <si>
    <t xml:space="preserve">PatientIntake service/controller</t>
  </si>
  <si>
    <t xml:space="preserve">create + update endpoints still exist</t>
  </si>
  <si>
    <t xml:space="preserve">Done. createPatientIntake/updatePatientIntake removed from service, impl, and controller.</t>
  </si>
  <si>
    <t xml:space="preserve">B12</t>
  </si>
  <si>
    <t xml:space="preserve">-</t>
  </si>
  <si>
    <t xml:space="preserve">MassageRepository</t>
  </si>
  <si>
    <t xml:space="preserve">findByPrice returns Optional but price is not unique</t>
  </si>
  <si>
    <t xml:space="preserve">findByPrice removed entirely; lookup is now by UUID id via JpaRepository.</t>
  </si>
  <si>
    <t xml:space="preserve">B13</t>
  </si>
  <si>
    <t xml:space="preserve">All entities</t>
  </si>
  <si>
    <t xml:space="preserve">Integer IDENTITY primary keys</t>
  </si>
  <si>
    <t xml:space="preserve">UUID primary keys across all entities. GenerationType.UUID.</t>
  </si>
  <si>
    <t xml:space="preserve">B14</t>
  </si>
  <si>
    <t xml:space="preserve">Whole backend</t>
  </si>
  <si>
    <t xml:space="preserve">No Spring Security, no authentication at all</t>
  </si>
  <si>
    <t xml:space="preserve">Resolved by 0.6a-0.6c-1: Spring Security 7 + OAuth2 resource server, BCrypt hashing, JWT issuance, endpoint role rules. Remaining query-level scoping tracked separately as B29/B30.</t>
  </si>
  <si>
    <t xml:space="preserve">B15</t>
  </si>
  <si>
    <t xml:space="preserve">git history</t>
  </si>
  <si>
    <t xml:space="preserve">DB password admin1234 committed</t>
  </si>
  <si>
    <t xml:space="preserve">Mitigated</t>
  </si>
  <si>
    <t xml:space="preserve">.env now gitignored. Change the actual DB password.</t>
  </si>
  <si>
    <t xml:space="preserve">B16</t>
  </si>
  <si>
    <t xml:space="preserve">Repo</t>
  </si>
  <si>
    <t xml:space="preserve">CRLF line endings make every diff unreadable</t>
  </si>
  <si>
    <t xml:space="preserve">Fixed: .gitattributes now has * text=auto eol=lf.</t>
  </si>
  <si>
    <t xml:space="preserve">B17</t>
  </si>
  <si>
    <t xml:space="preserve">FormsServiceImpl</t>
  </si>
  <si>
    <t xml:space="preserve">Unused PatientIntakeRepository autowire + import</t>
  </si>
  <si>
    <t xml:space="preserve">Removed during 0.3 sweep.</t>
  </si>
  <si>
    <t xml:space="preserve">B18</t>
  </si>
  <si>
    <t xml:space="preserve">updateForm does not update painPoints</t>
  </si>
  <si>
    <t xml:space="preserve">Fixed: updateForm now calls replacePainPoints(); orphanRemoval deletes dropped markers.</t>
  </si>
  <si>
    <t xml:space="preserve">B19</t>
  </si>
  <si>
    <t xml:space="preserve">src/test</t>
  </si>
  <si>
    <t xml:space="preserve">BackendApplicationTests deleted; zero tests exist</t>
  </si>
  <si>
    <t xml:space="preserve">Open</t>
  </si>
  <si>
    <t xml:space="preserve">2 of 5 tests written. Still the only integration check, and it does not exercise form creation at all.</t>
  </si>
  <si>
    <t xml:space="preserve">B20</t>
  </si>
  <si>
    <t xml:space="preserve">.git</t>
  </si>
  <si>
    <t xml:space="preserve">Stale index.lock left by the review bridge</t>
  </si>
  <si>
    <t xml:space="preserve">Fixed: lock cleared.</t>
  </si>
  <si>
    <t xml:space="preserve">B21</t>
  </si>
  <si>
    <t xml:space="preserve">Branch/Forms + User/Demographics</t>
  </si>
  <si>
    <t xml:space="preserve">Bidirectional relationships with no @ToString.Exclude / @EqualsAndHashCode.Exclude</t>
  </si>
  <si>
    <t xml:space="preserve">Fixed: excludes added to all 5 bidirectional fields.</t>
  </si>
  <si>
    <t xml:space="preserve">B22</t>
  </si>
  <si>
    <t xml:space="preserve">Branch.java</t>
  </si>
  <si>
    <t xml:space="preserve">@OneToMany(cascade = ALL) on Branch.forms</t>
  </si>
  <si>
    <t xml:space="preserve">Fixed: cascade removed from Branch.forms. Patient records survive branch deletion.</t>
  </si>
  <si>
    <t xml:space="preserve">B23</t>
  </si>
  <si>
    <t xml:space="preserve">Demographics.java</t>
  </si>
  <si>
    <t xml:space="preserve">@JoinColumn(name = "usersId") is camelCase; Forms uses users_id</t>
  </si>
  <si>
    <t xml:space="preserve">Fixed: renamed to users_id.</t>
  </si>
  <si>
    <t xml:space="preserve">B24</t>
  </si>
  <si>
    <t xml:space="preserve">MassageController</t>
  </si>
  <si>
    <t xml:space="preserve">@GetMapping("/{price}") bound to @PathVariable("massagePrice"); @PutMapping("/{id}") bound to massageId</t>
  </si>
  <si>
    <t xml:space="preserve">Name mismatches would fail at startup. Endpoints rebuilt around /{id}.</t>
  </si>
  <si>
    <t xml:space="preserve">B25</t>
  </si>
  <si>
    <t xml:space="preserve">role mapped without @Enumerated - JPA silently defaults to ORDINAL</t>
  </si>
  <si>
    <t xml:space="preserve">Stores 0/1/2 not CUSTOMER/STAFF/ADMIN. Reordering the enum later would silently reassign access. Now EnumType.STRING.</t>
  </si>
  <si>
    <t xml:space="preserve">B26</t>
  </si>
  <si>
    <t xml:space="preserve">price was a Float</t>
  </si>
  <si>
    <t xml:space="preserve">Floating point cannot represent money exactly; totals drift and revenue will not reconcile. Now BigDecimal(10,2).</t>
  </si>
  <si>
    <t xml:space="preserve">B27</t>
  </si>
  <si>
    <t xml:space="preserve">complaint fields were free-text String</t>
  </si>
  <si>
    <t xml:space="preserve">"Sciatica" vs "sciatica" were different conditions; AI contraindication lookup would miss. Now ComplaintType enum.</t>
  </si>
  <si>
    <t xml:space="preserve">B28</t>
  </si>
  <si>
    <t xml:space="preserve">.env</t>
  </si>
  <si>
    <t xml:space="preserve">Two JWT_SECRET lines - placeholder and real value</t>
  </si>
  <si>
    <t xml:space="preserve">Whichever won depended on the loader. The 50-char placeholder passes the 256-bit check, so the app would have booted happily signing tokens with a value committed in .env.example. Silent, not an error.</t>
  </si>
  <si>
    <t xml:space="preserve">B29</t>
  </si>
  <si>
    <t xml:space="preserve">0.6c-2</t>
  </si>
  <si>
    <t xml:space="preserve">createForm trusts userId and branchId from the request body</t>
  </si>
  <si>
    <t xml:space="preserve">Closed by 0.6c-2. createForm now takes userId from CurrentUser for customers; staff are forced to their own branch.</t>
  </si>
  <si>
    <t xml:space="preserve">B30</t>
  </si>
  <si>
    <t xml:space="preserve">FormsController</t>
  </si>
  <si>
    <t xml:space="preserve">GET /api/v1/forms returns every patient assessment to any authenticated user</t>
  </si>
  <si>
    <t xml:space="preserve">Closed by 0.6c-2. getAllForms branches on role: ADMIN all, STAFF own branch, CUSTOMER own records.</t>
  </si>
  <si>
    <t xml:space="preserve">B31</t>
  </si>
  <si>
    <t xml:space="preserve">All 6 controllers</t>
  </si>
  <si>
    <t xml:space="preserve">@CrossOrigin annotations duplicate the CorsConfigurationSource bean</t>
  </si>
  <si>
    <t xml:space="preserve">Still on all six controllers, duplicating the CorsConfigurationSource bean.</t>
  </si>
  <si>
    <t xml:space="preserve">B32</t>
  </si>
  <si>
    <t xml:space="preserve">Repo root</t>
  </si>
  <si>
    <t xml:space="preserve">Superseded HilotSpa_Baseline_Observation.xlsx still present</t>
  </si>
  <si>
    <t xml:space="preserve">HilotSpa_Baseline_Observation.xlsx still in the repo root, superseded by two split workbooks.</t>
  </si>
  <si>
    <t xml:space="preserve">B33</t>
  </si>
  <si>
    <t xml:space="preserve">hilotspaObsidia/ untracked - neither committed nor ignored</t>
  </si>
  <si>
    <t xml:space="preserve">hilotspaObsidia/ is gitignored; it no longer shows as untracked.</t>
  </si>
  <si>
    <t xml:space="preserve">B34</t>
  </si>
  <si>
    <t xml:space="preserve">package.json</t>
  </si>
  <si>
    <t xml:space="preserve">tailwindcss listed in BOTH dependencies (^4.3.3) and devDependencies (^4.1.12). Two versions of one package resolve unpredictably.</t>
  </si>
  <si>
    <t xml:space="preserve">Now devDependencies only. tailwindcss and @tailwindcss/postcss must match exactly in v4.</t>
  </si>
  <si>
    <t xml:space="preserve">B35</t>
  </si>
  <si>
    <t xml:space="preserve">0.6c</t>
  </si>
  <si>
    <t xml:space="preserve">FormsTransformImpl + FormsServiceImpl</t>
  </si>
  <si>
    <t xml:space="preserve">transform(FormsModel) and applyFields do the SAME entity mapping in two places. Every new field must be added to both or they silently drift.</t>
  </si>
  <si>
    <t xml:space="preserve">Found while wiring Forms.intent. Not urgent, but it will cause a "why is this field null" hunt eventually.</t>
  </si>
  <si>
    <t xml:space="preserve">B36</t>
  </si>
  <si>
    <t xml:space="preserve">JWT_SECRET and SPRING_PROFILES_ACTIVE were never passed into the backend container. application.properties could not resolve ${JWT_SECRET}, the context failed, restart: on-failure turned it into a silent crash loop.</t>
  </si>
  <si>
    <t xml:space="preserve">Presented as "could not reach server". Fixed with env_file: .env plus environment overrides for DB_HOST/DB_PORT. Same family as B28.</t>
  </si>
  <si>
    <t xml:space="preserve">B37</t>
  </si>
  <si>
    <t xml:space="preserve">FormsAccessControlTest</t>
  </si>
  <si>
    <t xml:space="preserve">The createForm helper posts a JSON body with no "intent". It is currently dead code, so the suite is green while the fixture is invalid.</t>
  </si>
  <si>
    <t xml:space="preserve">It will fail the moment test three is written, with a 500 on a test about authorization.</t>
  </si>
  <si>
    <t xml:space="preserve">B38</t>
  </si>
  <si>
    <t xml:space="preserve">tailwind.css</t>
  </si>
  <si>
    <t xml:space="preserve">Tailwind 4 @theme only emits variables it sees used, and it scans templates for utility classes, not var() in .scss. --radius-* and the tap size were dropped, so every input lost its height and corners.</t>
  </si>
  <si>
    <t xml:space="preserve">Fixed with @theme static plus a :root block in styles.scss. Also renamed --spacing-tap to --tap: --spacing-* is Tailwind own namespace.</t>
  </si>
  <si>
    <t xml:space="preserve">B39</t>
  </si>
  <si>
    <t xml:space="preserve">interactions.scss</t>
  </si>
  <si>
    <t xml:space="preserve">.mk.static sets transform:none, but the hover rule re-applied translate(-50%,-50%). Every marker in the "Spots you marked" list jumped on hover.</t>
  </si>
  <si>
    <t xml:space="preserve">Static markers now scale in place.</t>
  </si>
  <si>
    <t xml:space="preserve">B40</t>
  </si>
  <si>
    <t xml:space="preserve">review.html</t>
  </si>
  <si>
    <t xml:space="preserve">The C7 thumbnails rendered real &lt;button&gt; markers with no handler bound: three focusable controls that did nothing.</t>
  </si>
  <si>
    <t xml:space="preserve">BodyMap now takes an interactive input; review passes false and the markers render disabled.</t>
  </si>
  <si>
    <t xml:space="preserve">B41</t>
  </si>
  <si>
    <t xml:space="preserve">mockup JS</t>
  </si>
  <si>
    <t xml:space="preserve">getAttribute on a valueless attribute returns "" (falsy), so a hasAttribute check was needed. Filters silently did nothing.</t>
  </si>
  <si>
    <t xml:space="preserve">Prototype only, but the same trap exists with bare attribute inputs in Angular.</t>
  </si>
  <si>
    <t xml:space="preserve">B42</t>
  </si>
  <si>
    <t xml:space="preserve">Forms.java / FormsModel</t>
  </si>
  <si>
    <t xml:space="preserve">intent was added to the entity as NOT NULL but not to the model, transformer or applyFields. Every form creation would have inserted null and failed at the database.</t>
  </si>
  <si>
    <t xml:space="preserve">Compiled cleanly. Same family as the three Session 3 boot failures: the compiler cannot see a field you forgot to use.</t>
  </si>
  <si>
    <t xml:space="preserve">B43</t>
  </si>
  <si>
    <t xml:space="preserve">SecurityConfig line 68</t>
  </si>
  <si>
    <t xml:space="preserve">/api/v1/demographics/** is hasAnyRole(STAFF, ADMIN), so a CUSTOMER cannot save their own C3 answers.</t>
  </si>
  <si>
    <t xml:space="preserve">NEEDS A DECISION. Currently worked around by packing the answers into Forms.remarks.</t>
  </si>
  <si>
    <t xml:space="preserve">B44</t>
  </si>
  <si>
    <t xml:space="preserve">assessment.store.ts</t>
  </si>
  <si>
    <t xml:space="preserve">buildRemarks() packs occupation, illness detail, therapy detail and safety flags into a text blob because H1/H2 have not landed.</t>
  </si>
  <si>
    <t xml:space="preserve">Marked TEMPORARY in the code. A blob is not queryable and cannot be shown back on the review screen.</t>
  </si>
  <si>
    <t xml:space="preserve">B45</t>
  </si>
  <si>
    <t xml:space="preserve">mainComplaint is now nullable so a leisure assessment can save. The conditional rule - required when intent=PAIN, forbidden when LEISURE - is not enforced anywhere.</t>
  </si>
  <si>
    <t xml:space="preserve">A column constraint cannot express it. It belongs in createForm as a guard that throws 400.</t>
  </si>
  <si>
    <t xml:space="preserve">B46</t>
  </si>
  <si>
    <t xml:space="preserve">core/demo.ts</t>
  </si>
  <si>
    <t xml:space="preserve">Every figure on the Sprint 2 and 3 screens is placeholder data.</t>
  </si>
  <si>
    <t xml:space="preserve">Deliberate and labelled: each block carries a TODO naming the endpoint that replaces it. Logged so it cannot be forgotten before the defense.</t>
  </si>
  <si>
    <t xml:space="preserve">HilotSpa — Defense Risk Register</t>
  </si>
  <si>
    <t xml:space="preserve">The paper cannot be edited. These are the contradictions a panelist may find, and how the BUILD resolves each one.</t>
  </si>
  <si>
    <t xml:space="preserve">Area</t>
  </si>
  <si>
    <t xml:space="preserve">Risk / Contradiction in the frozen paper</t>
  </si>
  <si>
    <t xml:space="preserve">Engineered resolution</t>
  </si>
  <si>
    <t xml:space="preserve">Where it lands</t>
  </si>
  <si>
    <t xml:space="preserve">R1</t>
  </si>
  <si>
    <t xml:space="preserve">Architecture</t>
  </si>
  <si>
    <t xml:space="preserve">Offline survival (NFR#1) and guaranteed no double-booking (Process Rule #4) are contradictory under CAP.</t>
  </si>
  <si>
    <t xml:space="preserve">Partition write authority by physical resource ownership. A therapist/room belongs to exactly one branch, so cross-branch conflict cannot exist. Each node is sole writer for its own resources; peers hold read-only replicas.</t>
  </si>
  <si>
    <t xml:space="preserve">Sprint 3.4</t>
  </si>
  <si>
    <t xml:space="preserve">R2</t>
  </si>
  <si>
    <t xml:space="preserve">Requirements</t>
  </si>
  <si>
    <t xml:space="preserve">Process Rule #2 locks the chatbot until pre-assessment completes, but Significance promises leisure clients can bypass the forms.</t>
  </si>
  <si>
    <t xml:space="preserve">First screen forks: 'I have pain' vs 'I'm here to relax'. The leisure path still WRITES a completed assessment record in one tap. The gate is on completion, not length.</t>
  </si>
  <si>
    <t xml:space="preserve">Sprint 1.4</t>
  </si>
  <si>
    <t xml:space="preserve">Resolved</t>
  </si>
  <si>
    <t xml:space="preserve">R3</t>
  </si>
  <si>
    <t xml:space="preserve">AI Integrity</t>
  </si>
  <si>
    <t xml:space="preserve">Paper claims n8n is a 'strict filtering layer' preventing hallucinated medical advice. n8n is an orchestrator and does no such thing by itself.</t>
  </si>
  <si>
    <t xml:space="preserve">Give n8n three concrete jobs: (1) assemble prompt from DB only, (2) constrained structured output where serviceId is an enum of real catalog IDs, (3) post-validate against the catalog and reject anything else.</t>
  </si>
  <si>
    <t xml:space="preserve">Sprint 2.3</t>
  </si>
  <si>
    <t xml:space="preserve">R4</t>
  </si>
  <si>
    <t xml:space="preserve">Ethics / Scope</t>
  </si>
  <si>
    <t xml:space="preserve">Process Rule #3 excludes contraindicated services, but the Delimitation says no medical advice. Excluding a service on health grounds IS a clinical decision.</t>
  </si>
  <si>
    <t xml:space="preserve">Contraindication rules authored and signed off by the spa's bone setter, stored in a DB table, applied in Java BEFORE the AI is called. Put the signed table in the appendix.</t>
  </si>
  <si>
    <t xml:space="preserve">Sprint 2.4</t>
  </si>
  <si>
    <t xml:space="preserve">R5</t>
  </si>
  <si>
    <t xml:space="preserve">Evaluation</t>
  </si>
  <si>
    <t xml:space="preserve">Research locale names only one branch, but the decentralization claim needs at least two nodes.</t>
  </si>
  <si>
    <t xml:space="preserve">Run a second node on a laptop or VM on the same LAN. Demo sync by physically unplugging the network. Rehearse it.</t>
  </si>
  <si>
    <t xml:space="preserve">Sprint 3.10</t>
  </si>
  <si>
    <t xml:space="preserve">R6</t>
  </si>
  <si>
    <t xml:space="preserve">Objective 4 says evaluate 'AI reliability', but CUQ measures perceived usability, not reliability.</t>
  </si>
  <si>
    <t xml:space="preserve">Add an objective measure to the Technical &amp; Operational Checklist: agreement rate between the AI recommendation and a therapist's blind independent recommendation over &gt;=30 trials, plus 0 out-of-catalog outputs.</t>
  </si>
  <si>
    <t xml:space="preserve">Sprint 4.4</t>
  </si>
  <si>
    <t xml:space="preserve">R7</t>
  </si>
  <si>
    <t xml:space="preserve">Scope</t>
  </si>
  <si>
    <t xml:space="preserve">Significance promises owners can monitor revenue, but the Delimitation excludes payment processing.</t>
  </si>
  <si>
    <t xml:space="preserve">Appointment snapshots the service price at booking. Staff mark PAID_AT_COUNTER. Revenue = sum of completed appointments. No payment processing involved.</t>
  </si>
  <si>
    <t xml:space="preserve">Sprint 0.5</t>
  </si>
  <si>
    <t xml:space="preserve">R8</t>
  </si>
  <si>
    <t xml:space="preserve">Presentation</t>
  </si>
  <si>
    <t xml:space="preserve">Figures 8.1 and 8.2 are both captioned 'Sprint 2'. Two tables are both numbered as Gap Analysis but the TOC lists one. References [12] and [34] are the same paper.</t>
  </si>
  <si>
    <t xml:space="preserve">Cosmetic. Fix if the adviser still permits caption-level edits; otherwise be ready to acknowledge it.</t>
  </si>
  <si>
    <t xml:space="preserve">Paper</t>
  </si>
  <si>
    <t xml:space="preserve">R9</t>
  </si>
  <si>
    <t xml:space="preserve">Appendix A has two halves. The bottom half is the bone setter own working sheet - spine chart C1-L5, the ADJUSTMENTS grid, the findings table. None of it is digitised, and a panelist who has seen the form will ask where it went.</t>
  </si>
  <si>
    <t xml:space="preserve">State the boundary explicitly: the system digitises the client-completed portion. S4 covers the findings table and BEFORE/AFTER pain; the adjustment record stays on paper for this study.</t>
  </si>
  <si>
    <t xml:space="preserve">Paper Ch.3 + S4</t>
  </si>
  <si>
    <t xml:space="preserve">R10</t>
  </si>
  <si>
    <t xml:space="preserve">The establishment trades as Knead Wellness Spa. The paper, the signed permission letter, and the running UI each use a different name.</t>
  </si>
  <si>
    <t xml:space="preserve">Adviser picks one convention. Safer option: registered name with a parenthetical on first mention.</t>
  </si>
  <si>
    <t xml:space="preserve">Paper SS A3</t>
  </si>
  <si>
    <t xml:space="preserve">R11</t>
  </si>
  <si>
    <t xml:space="preserve">Ethics</t>
  </si>
  <si>
    <t xml:space="preserve">A researcher shares a surname with the owners. Undisclosed, this looks like concealment; disclosed, it is routine.</t>
  </si>
  <si>
    <t xml:space="preserve">One sentence in the Research Locale section, plus the bias controls already in place (clock-time-only observation, practitioner-signed protocol).</t>
  </si>
  <si>
    <t xml:space="preserve">Paper SS A4</t>
  </si>
  <si>
    <t xml:space="preserve">R12</t>
  </si>
  <si>
    <t xml:space="preserve">Schema is built by ddl-auto=update. On a decentralised system each branch runs its own Postgres, and "Hibernate will work it out on each node" is not a migration strategy.</t>
  </si>
  <si>
    <t xml:space="preserve">Flyway baseline migration before any second node exists.</t>
  </si>
  <si>
    <t xml:space="preserve">Sprint 0.7</t>
  </si>
  <si>
    <t xml:space="preserve">R13</t>
  </si>
  <si>
    <t xml:space="preserve">The pre-implementation baseline still has not been collected, and the digital intake now works. Once it is in use at the counter the manual process cannot be observed.</t>
  </si>
  <si>
    <t xml:space="preserve">Do the timing study before deployment, or state honestly in Ch.4 that the 10-15 minute figure is borrowed from literature.</t>
  </si>
  <si>
    <t xml:space="preserve">Sprint 4.1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</si>
</sst>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F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F"/>
          <bgColor rgb="FF000000"/>
        </patternFill>
      </fill>
    </dxf>
    <dxf>
      <fill>
        <patternFill patternType="solid">
          <fgColor rgb="FFDCE9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DCE9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COUNTIF(Tasks!$A$5:$A$56,$A5)</f>
        <v>9</v>
      </c>
      <c r="C5" s="6" t="n">
        <f aca="false">COUNTIFS(Tasks!$A$5:$A$56,$A5,Tasks!$E$5:$E$56,"Done")</f>
        <v>7</v>
      </c>
      <c r="D5" s="6" t="n">
        <f aca="false">COUNTIFS(Tasks!$A$5:$A$56,$A5,Tasks!$E$5:$E$56,"In Progress")</f>
        <v>2</v>
      </c>
      <c r="E5" s="6" t="n">
        <f aca="false">COUNTIFS(Tasks!$A$5:$A$56,$A5,Tasks!$E$5:$E$56,"Not Started")</f>
        <v>0</v>
      </c>
      <c r="F5" s="6" t="n">
        <f aca="false">COUNTIFS(Tasks!$A$5:$A$56,$A5,Tasks!$E$5:$E$56,"Blocked")</f>
        <v>0</v>
      </c>
      <c r="G5" s="7" t="n">
        <f aca="false">IFERROR($C5/$B5,0)</f>
        <v>0.777777777777778</v>
      </c>
    </row>
    <row r="6" customFormat="false" ht="15" hidden="false" customHeight="true" outlineLevel="0" collapsed="false">
      <c r="A6" s="5" t="s">
        <v>10</v>
      </c>
      <c r="B6" s="6" t="n">
        <f aca="false">COUNTIF(Tasks!$A$5:$A$56,$A6)</f>
        <v>11</v>
      </c>
      <c r="C6" s="6" t="n">
        <f aca="false">COUNTIFS(Tasks!$A$5:$A$56,$A6,Tasks!$E$5:$E$56,"Done")</f>
        <v>9</v>
      </c>
      <c r="D6" s="6" t="n">
        <f aca="false">COUNTIFS(Tasks!$A$5:$A$56,$A6,Tasks!$E$5:$E$56,"In Progress")</f>
        <v>1</v>
      </c>
      <c r="E6" s="6" t="n">
        <f aca="false">COUNTIFS(Tasks!$A$5:$A$56,$A6,Tasks!$E$5:$E$56,"Not Started")</f>
        <v>1</v>
      </c>
      <c r="F6" s="6" t="n">
        <f aca="false">COUNTIFS(Tasks!$A$5:$A$56,$A6,Tasks!$E$5:$E$56,"Blocked")</f>
        <v>0</v>
      </c>
      <c r="G6" s="7" t="n">
        <f aca="false">IFERROR($C6/$B6,0)</f>
        <v>0.818181818181818</v>
      </c>
    </row>
    <row r="7" customFormat="false" ht="15" hidden="false" customHeight="true" outlineLevel="0" collapsed="false">
      <c r="A7" s="5" t="s">
        <v>11</v>
      </c>
      <c r="B7" s="6" t="n">
        <f aca="false">COUNTIF(Tasks!$A$5:$A$56,$A7)</f>
        <v>9</v>
      </c>
      <c r="C7" s="6" t="n">
        <f aca="false">COUNTIFS(Tasks!$A$5:$A$56,$A7,Tasks!$E$5:$E$56,"Done")</f>
        <v>0</v>
      </c>
      <c r="D7" s="6" t="n">
        <f aca="false">COUNTIFS(Tasks!$A$5:$A$56,$A7,Tasks!$E$5:$E$56,"In Progress")</f>
        <v>2</v>
      </c>
      <c r="E7" s="6" t="n">
        <f aca="false">COUNTIFS(Tasks!$A$5:$A$56,$A7,Tasks!$E$5:$E$56,"Not Started")</f>
        <v>7</v>
      </c>
      <c r="F7" s="6" t="n">
        <f aca="false">COUNTIFS(Tasks!$A$5:$A$56,$A7,Tasks!$E$5:$E$56,"Blocked")</f>
        <v>0</v>
      </c>
      <c r="G7" s="7" t="n">
        <f aca="false">IFERROR($C7/$B7,0)</f>
        <v>0</v>
      </c>
    </row>
    <row r="8" customFormat="false" ht="15" hidden="false" customHeight="true" outlineLevel="0" collapsed="false">
      <c r="A8" s="5" t="s">
        <v>12</v>
      </c>
      <c r="B8" s="6" t="n">
        <f aca="false">COUNTIF(Tasks!$A$5:$A$56,$A8)</f>
        <v>12</v>
      </c>
      <c r="C8" s="6" t="n">
        <f aca="false">COUNTIFS(Tasks!$A$5:$A$56,$A8,Tasks!$E$5:$E$56,"Done")</f>
        <v>0</v>
      </c>
      <c r="D8" s="6" t="n">
        <f aca="false">COUNTIFS(Tasks!$A$5:$A$56,$A8,Tasks!$E$5:$E$56,"In Progress")</f>
        <v>7</v>
      </c>
      <c r="E8" s="6" t="n">
        <f aca="false">COUNTIFS(Tasks!$A$5:$A$56,$A8,Tasks!$E$5:$E$56,"Not Started")</f>
        <v>5</v>
      </c>
      <c r="F8" s="6" t="n">
        <f aca="false">COUNTIFS(Tasks!$A$5:$A$56,$A8,Tasks!$E$5:$E$56,"Blocked")</f>
        <v>0</v>
      </c>
      <c r="G8" s="7" t="n">
        <f aca="false">IFERROR($C8/$B8,0)</f>
        <v>0</v>
      </c>
    </row>
    <row r="9" customFormat="false" ht="15" hidden="false" customHeight="true" outlineLevel="0" collapsed="false">
      <c r="A9" s="5" t="s">
        <v>13</v>
      </c>
      <c r="B9" s="6" t="n">
        <f aca="false">COUNTIF(Tasks!$A$5:$A$56,$A9)</f>
        <v>11</v>
      </c>
      <c r="C9" s="6" t="n">
        <f aca="false">COUNTIFS(Tasks!$A$5:$A$56,$A9,Tasks!$E$5:$E$56,"Done")</f>
        <v>0</v>
      </c>
      <c r="D9" s="6" t="n">
        <f aca="false">COUNTIFS(Tasks!$A$5:$A$56,$A9,Tasks!$E$5:$E$56,"In Progress")</f>
        <v>0</v>
      </c>
      <c r="E9" s="6" t="n">
        <f aca="false">COUNTIFS(Tasks!$A$5:$A$56,$A9,Tasks!$E$5:$E$56,"Not Started")</f>
        <v>11</v>
      </c>
      <c r="F9" s="6" t="n">
        <f aca="false">COUNTIFS(Tasks!$A$5:$A$56,$A9,Tasks!$E$5:$E$56,"Blocked")</f>
        <v>0</v>
      </c>
      <c r="G9" s="7" t="n">
        <f aca="false">IFERROR($C9/$B9,0)</f>
        <v>0</v>
      </c>
    </row>
    <row r="10" customFormat="false" ht="15" hidden="false" customHeight="true" outlineLevel="0" collapsed="false">
      <c r="A10" s="8" t="s">
        <v>14</v>
      </c>
      <c r="B10" s="9" t="n">
        <f aca="false">SUM(B5:B9)</f>
        <v>52</v>
      </c>
      <c r="C10" s="9" t="n">
        <f aca="false">SUM(C5:C9)</f>
        <v>16</v>
      </c>
      <c r="D10" s="9" t="n">
        <f aca="false">SUM(D5:D9)</f>
        <v>12</v>
      </c>
      <c r="E10" s="9" t="n">
        <f aca="false">SUM(E5:E9)</f>
        <v>24</v>
      </c>
      <c r="F10" s="9" t="n">
        <f aca="false">SUM(F5:F9)</f>
        <v>0</v>
      </c>
      <c r="G10" s="10" t="n">
        <f aca="false">IFERROR($C10/$B10,0)</f>
        <v>0.307692307692308</v>
      </c>
    </row>
    <row r="12" customFormat="false" ht="15" hidden="false" customHeight="true" outlineLevel="0" collapsed="false">
      <c r="A12" s="11" t="s">
        <v>15</v>
      </c>
      <c r="B12" s="12" t="n">
        <f aca="false">COUNTIF(Bugs!$F:$F,"Open")</f>
        <v>9</v>
      </c>
    </row>
    <row r="13" customFormat="false" ht="15" hidden="false" customHeight="true" outlineLevel="0" collapsed="false">
      <c r="A13" s="11" t="s">
        <v>16</v>
      </c>
      <c r="B13" s="12" t="n">
        <f aca="false">COUNTIFS(Bugs!$F:$F,"Open",Bugs!$E:$E,"Critical")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40"/>
    <col collapsed="false" customWidth="true" hidden="false" outlineLevel="0" max="4" min="4" style="1" width="6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52"/>
  </cols>
  <sheetData>
    <row r="1" customFormat="false" ht="17.25" hidden="false" customHeight="true" outlineLevel="0" collapsed="false">
      <c r="A1" s="2" t="s">
        <v>17</v>
      </c>
    </row>
    <row r="2" customFormat="false" ht="15" hidden="false" customHeight="true" outlineLevel="0" collapsed="false">
      <c r="A2" s="3" t="s">
        <v>18</v>
      </c>
    </row>
    <row r="4" customFormat="false" ht="15" hidden="false" customHeight="true" outlineLevel="0" collapsed="false">
      <c r="A4" s="4" t="s">
        <v>2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</row>
    <row r="5" customFormat="false" ht="23.25" hidden="false" customHeight="true" outlineLevel="0" collapsed="false">
      <c r="A5" s="9" t="s">
        <v>9</v>
      </c>
      <c r="B5" s="13" t="s">
        <v>25</v>
      </c>
      <c r="C5" s="14" t="s">
        <v>26</v>
      </c>
      <c r="D5" s="14" t="s">
        <v>27</v>
      </c>
      <c r="E5" s="13" t="s">
        <v>4</v>
      </c>
      <c r="F5" s="13" t="s">
        <v>28</v>
      </c>
      <c r="G5" s="14" t="s">
        <v>29</v>
      </c>
    </row>
    <row r="6" customFormat="false" ht="23.25" hidden="false" customHeight="true" outlineLevel="0" collapsed="false">
      <c r="A6" s="15" t="s">
        <v>9</v>
      </c>
      <c r="B6" s="6" t="s">
        <v>30</v>
      </c>
      <c r="C6" s="16" t="s">
        <v>31</v>
      </c>
      <c r="D6" s="16" t="s">
        <v>32</v>
      </c>
      <c r="E6" s="17" t="s">
        <v>4</v>
      </c>
      <c r="F6" s="6" t="s">
        <v>28</v>
      </c>
      <c r="G6" s="16" t="s">
        <v>33</v>
      </c>
    </row>
    <row r="7" customFormat="false" ht="23.25" hidden="false" customHeight="true" outlineLevel="0" collapsed="false">
      <c r="A7" s="15" t="s">
        <v>9</v>
      </c>
      <c r="B7" s="6" t="s">
        <v>34</v>
      </c>
      <c r="C7" s="16" t="s">
        <v>35</v>
      </c>
      <c r="D7" s="16" t="s">
        <v>36</v>
      </c>
      <c r="E7" s="17" t="s">
        <v>4</v>
      </c>
      <c r="F7" s="6" t="s">
        <v>37</v>
      </c>
      <c r="G7" s="16" t="s">
        <v>38</v>
      </c>
    </row>
    <row r="8" customFormat="false" ht="23.25" hidden="false" customHeight="true" outlineLevel="0" collapsed="false">
      <c r="A8" s="15" t="s">
        <v>9</v>
      </c>
      <c r="B8" s="6" t="s">
        <v>39</v>
      </c>
      <c r="C8" s="16" t="s">
        <v>40</v>
      </c>
      <c r="D8" s="16" t="s">
        <v>41</v>
      </c>
      <c r="E8" s="17" t="s">
        <v>4</v>
      </c>
      <c r="F8" s="6" t="s">
        <v>28</v>
      </c>
      <c r="G8" s="16" t="s">
        <v>42</v>
      </c>
    </row>
    <row r="9" customFormat="false" ht="15" hidden="false" customHeight="true" outlineLevel="0" collapsed="false">
      <c r="A9" s="15" t="s">
        <v>9</v>
      </c>
      <c r="B9" s="6" t="s">
        <v>43</v>
      </c>
      <c r="C9" s="16" t="s">
        <v>44</v>
      </c>
      <c r="D9" s="16" t="s">
        <v>45</v>
      </c>
      <c r="E9" s="17" t="s">
        <v>4</v>
      </c>
      <c r="F9" s="6" t="s">
        <v>28</v>
      </c>
      <c r="G9" s="16" t="s">
        <v>46</v>
      </c>
    </row>
    <row r="10" customFormat="false" ht="23.25" hidden="false" customHeight="true" outlineLevel="0" collapsed="false">
      <c r="A10" s="15" t="s">
        <v>9</v>
      </c>
      <c r="B10" s="6" t="s">
        <v>47</v>
      </c>
      <c r="C10" s="16" t="s">
        <v>48</v>
      </c>
      <c r="D10" s="16" t="s">
        <v>49</v>
      </c>
      <c r="E10" s="17" t="s">
        <v>4</v>
      </c>
      <c r="F10" s="6" t="s">
        <v>50</v>
      </c>
      <c r="G10" s="16" t="s">
        <v>51</v>
      </c>
    </row>
    <row r="11" customFormat="false" ht="23.25" hidden="false" customHeight="true" outlineLevel="0" collapsed="false">
      <c r="A11" s="15" t="s">
        <v>9</v>
      </c>
      <c r="B11" s="6" t="s">
        <v>52</v>
      </c>
      <c r="C11" s="16" t="s">
        <v>53</v>
      </c>
      <c r="D11" s="16" t="s">
        <v>54</v>
      </c>
      <c r="E11" s="17" t="s">
        <v>5</v>
      </c>
      <c r="F11" s="6" t="s">
        <v>37</v>
      </c>
      <c r="G11" s="16" t="s">
        <v>55</v>
      </c>
    </row>
    <row r="12" customFormat="false" ht="15" hidden="false" customHeight="true" outlineLevel="0" collapsed="false">
      <c r="A12" s="15" t="s">
        <v>9</v>
      </c>
      <c r="B12" s="6" t="s">
        <v>56</v>
      </c>
      <c r="C12" s="16" t="s">
        <v>57</v>
      </c>
      <c r="D12" s="16" t="s">
        <v>58</v>
      </c>
      <c r="E12" s="17" t="s">
        <v>4</v>
      </c>
      <c r="F12" s="6" t="s">
        <v>28</v>
      </c>
      <c r="G12" s="16" t="s">
        <v>59</v>
      </c>
    </row>
    <row r="13" customFormat="false" ht="23.25" hidden="false" customHeight="true" outlineLevel="0" collapsed="false">
      <c r="A13" s="9" t="s">
        <v>10</v>
      </c>
      <c r="B13" s="13" t="s">
        <v>60</v>
      </c>
      <c r="C13" s="14" t="s">
        <v>61</v>
      </c>
      <c r="D13" s="14" t="s">
        <v>62</v>
      </c>
      <c r="E13" s="13" t="s">
        <v>4</v>
      </c>
      <c r="F13" s="13"/>
      <c r="G13" s="14" t="s">
        <v>63</v>
      </c>
    </row>
    <row r="14" customFormat="false" ht="15" hidden="false" customHeight="true" outlineLevel="0" collapsed="false">
      <c r="A14" s="15" t="s">
        <v>10</v>
      </c>
      <c r="B14" s="6" t="s">
        <v>64</v>
      </c>
      <c r="C14" s="16" t="s">
        <v>65</v>
      </c>
      <c r="D14" s="16" t="s">
        <v>66</v>
      </c>
      <c r="E14" s="17" t="s">
        <v>4</v>
      </c>
      <c r="F14" s="6"/>
      <c r="G14" s="16" t="s">
        <v>67</v>
      </c>
    </row>
    <row r="15" customFormat="false" ht="23.25" hidden="false" customHeight="true" outlineLevel="0" collapsed="false">
      <c r="A15" s="15" t="s">
        <v>10</v>
      </c>
      <c r="B15" s="6" t="s">
        <v>68</v>
      </c>
      <c r="C15" s="16" t="s">
        <v>69</v>
      </c>
      <c r="D15" s="16" t="s">
        <v>70</v>
      </c>
      <c r="E15" s="17" t="s">
        <v>4</v>
      </c>
      <c r="F15" s="6"/>
      <c r="G15" s="16" t="s">
        <v>71</v>
      </c>
    </row>
    <row r="16" customFormat="false" ht="23.25" hidden="false" customHeight="true" outlineLevel="0" collapsed="false">
      <c r="A16" s="15" t="s">
        <v>10</v>
      </c>
      <c r="B16" s="6" t="s">
        <v>72</v>
      </c>
      <c r="C16" s="16" t="s">
        <v>73</v>
      </c>
      <c r="D16" s="16" t="s">
        <v>74</v>
      </c>
      <c r="E16" s="17" t="s">
        <v>4</v>
      </c>
      <c r="F16" s="6"/>
      <c r="G16" s="16" t="s">
        <v>75</v>
      </c>
    </row>
    <row r="17" customFormat="false" ht="23.25" hidden="false" customHeight="true" outlineLevel="0" collapsed="false">
      <c r="A17" s="15" t="s">
        <v>10</v>
      </c>
      <c r="B17" s="6" t="s">
        <v>76</v>
      </c>
      <c r="C17" s="16" t="s">
        <v>77</v>
      </c>
      <c r="D17" s="16" t="s">
        <v>78</v>
      </c>
      <c r="E17" s="17" t="s">
        <v>4</v>
      </c>
      <c r="F17" s="6"/>
      <c r="G17" s="16" t="s">
        <v>79</v>
      </c>
    </row>
    <row r="18" customFormat="false" ht="15" hidden="false" customHeight="true" outlineLevel="0" collapsed="false">
      <c r="A18" s="15" t="s">
        <v>10</v>
      </c>
      <c r="B18" s="6" t="s">
        <v>80</v>
      </c>
      <c r="C18" s="16" t="s">
        <v>81</v>
      </c>
      <c r="D18" s="16" t="s">
        <v>82</v>
      </c>
      <c r="E18" s="17" t="s">
        <v>4</v>
      </c>
      <c r="F18" s="6"/>
      <c r="G18" s="16" t="s">
        <v>83</v>
      </c>
    </row>
    <row r="19" customFormat="false" ht="15" hidden="false" customHeight="true" outlineLevel="0" collapsed="false">
      <c r="A19" s="15" t="s">
        <v>10</v>
      </c>
      <c r="B19" s="6" t="s">
        <v>84</v>
      </c>
      <c r="C19" s="16" t="s">
        <v>85</v>
      </c>
      <c r="D19" s="16" t="s">
        <v>86</v>
      </c>
      <c r="E19" s="17" t="s">
        <v>5</v>
      </c>
      <c r="F19" s="6"/>
      <c r="G19" s="16" t="s">
        <v>87</v>
      </c>
    </row>
    <row r="20" customFormat="false" ht="15" hidden="false" customHeight="true" outlineLevel="0" collapsed="false">
      <c r="A20" s="9" t="s">
        <v>11</v>
      </c>
      <c r="B20" s="13" t="s">
        <v>88</v>
      </c>
      <c r="C20" s="14" t="s">
        <v>89</v>
      </c>
      <c r="D20" s="14" t="s">
        <v>90</v>
      </c>
      <c r="E20" s="13" t="s">
        <v>6</v>
      </c>
      <c r="F20" s="13"/>
      <c r="G20" s="14" t="s">
        <v>91</v>
      </c>
    </row>
    <row r="21" customFormat="false" ht="15" hidden="false" customHeight="true" outlineLevel="0" collapsed="false">
      <c r="A21" s="15" t="s">
        <v>11</v>
      </c>
      <c r="B21" s="6" t="s">
        <v>92</v>
      </c>
      <c r="C21" s="16" t="s">
        <v>93</v>
      </c>
      <c r="D21" s="16" t="s">
        <v>94</v>
      </c>
      <c r="E21" s="17" t="s">
        <v>6</v>
      </c>
      <c r="F21" s="6"/>
      <c r="G21" s="16" t="s">
        <v>95</v>
      </c>
    </row>
    <row r="22" customFormat="false" ht="23.25" hidden="false" customHeight="true" outlineLevel="0" collapsed="false">
      <c r="A22" s="15" t="s">
        <v>11</v>
      </c>
      <c r="B22" s="6" t="s">
        <v>96</v>
      </c>
      <c r="C22" s="16" t="s">
        <v>97</v>
      </c>
      <c r="D22" s="16" t="s">
        <v>98</v>
      </c>
      <c r="E22" s="17" t="s">
        <v>6</v>
      </c>
      <c r="F22" s="6"/>
      <c r="G22" s="16" t="s">
        <v>99</v>
      </c>
    </row>
    <row r="23" customFormat="false" ht="23.25" hidden="false" customHeight="true" outlineLevel="0" collapsed="false">
      <c r="A23" s="15" t="s">
        <v>11</v>
      </c>
      <c r="B23" s="6" t="s">
        <v>100</v>
      </c>
      <c r="C23" s="16" t="s">
        <v>101</v>
      </c>
      <c r="D23" s="16" t="s">
        <v>102</v>
      </c>
      <c r="E23" s="17" t="s">
        <v>6</v>
      </c>
      <c r="F23" s="6"/>
      <c r="G23" s="16" t="s">
        <v>103</v>
      </c>
    </row>
    <row r="24" customFormat="false" ht="15" hidden="false" customHeight="true" outlineLevel="0" collapsed="false">
      <c r="A24" s="15" t="s">
        <v>11</v>
      </c>
      <c r="B24" s="6" t="s">
        <v>104</v>
      </c>
      <c r="C24" s="16" t="s">
        <v>105</v>
      </c>
      <c r="D24" s="16" t="s">
        <v>106</v>
      </c>
      <c r="E24" s="17" t="s">
        <v>5</v>
      </c>
      <c r="F24" s="6"/>
      <c r="G24" s="16" t="s">
        <v>107</v>
      </c>
    </row>
    <row r="25" customFormat="false" ht="15" hidden="false" customHeight="true" outlineLevel="0" collapsed="false">
      <c r="A25" s="15" t="s">
        <v>11</v>
      </c>
      <c r="B25" s="6" t="s">
        <v>108</v>
      </c>
      <c r="C25" s="16" t="s">
        <v>109</v>
      </c>
      <c r="D25" s="16" t="s">
        <v>110</v>
      </c>
      <c r="E25" s="17" t="s">
        <v>6</v>
      </c>
      <c r="F25" s="6"/>
      <c r="G25" s="16" t="s">
        <v>111</v>
      </c>
    </row>
    <row r="26" customFormat="false" ht="15" hidden="false" customHeight="true" outlineLevel="0" collapsed="false">
      <c r="A26" s="15" t="s">
        <v>11</v>
      </c>
      <c r="B26" s="6" t="s">
        <v>112</v>
      </c>
      <c r="C26" s="16" t="s">
        <v>113</v>
      </c>
      <c r="D26" s="16" t="s">
        <v>114</v>
      </c>
      <c r="E26" s="17" t="s">
        <v>6</v>
      </c>
      <c r="F26" s="6"/>
      <c r="G26" s="16" t="s">
        <v>115</v>
      </c>
    </row>
    <row r="27" customFormat="false" ht="23.25" hidden="false" customHeight="true" outlineLevel="0" collapsed="false">
      <c r="A27" s="15" t="s">
        <v>11</v>
      </c>
      <c r="B27" s="6" t="s">
        <v>116</v>
      </c>
      <c r="C27" s="16" t="s">
        <v>117</v>
      </c>
      <c r="D27" s="16" t="s">
        <v>118</v>
      </c>
      <c r="E27" s="17" t="s">
        <v>6</v>
      </c>
      <c r="F27" s="6"/>
      <c r="G27" s="16" t="s">
        <v>119</v>
      </c>
    </row>
    <row r="28" customFormat="false" ht="23.25" hidden="false" customHeight="true" outlineLevel="0" collapsed="false">
      <c r="A28" s="9" t="s">
        <v>12</v>
      </c>
      <c r="B28" s="13" t="s">
        <v>120</v>
      </c>
      <c r="C28" s="14" t="s">
        <v>121</v>
      </c>
      <c r="D28" s="14" t="s">
        <v>122</v>
      </c>
      <c r="E28" s="13" t="s">
        <v>6</v>
      </c>
      <c r="F28" s="13"/>
      <c r="G28" s="14" t="s">
        <v>123</v>
      </c>
    </row>
    <row r="29" customFormat="false" ht="15" hidden="false" customHeight="true" outlineLevel="0" collapsed="false">
      <c r="A29" s="15" t="s">
        <v>12</v>
      </c>
      <c r="B29" s="6" t="s">
        <v>124</v>
      </c>
      <c r="C29" s="16" t="s">
        <v>125</v>
      </c>
      <c r="D29" s="16" t="s">
        <v>126</v>
      </c>
      <c r="E29" s="17" t="s">
        <v>6</v>
      </c>
      <c r="F29" s="6"/>
      <c r="G29" s="16"/>
    </row>
    <row r="30" customFormat="false" ht="15" hidden="false" customHeight="true" outlineLevel="0" collapsed="false">
      <c r="A30" s="15" t="s">
        <v>12</v>
      </c>
      <c r="B30" s="6" t="s">
        <v>127</v>
      </c>
      <c r="C30" s="16" t="s">
        <v>128</v>
      </c>
      <c r="D30" s="16" t="s">
        <v>129</v>
      </c>
      <c r="E30" s="17" t="s">
        <v>6</v>
      </c>
      <c r="F30" s="6"/>
      <c r="G30" s="16" t="s">
        <v>130</v>
      </c>
    </row>
    <row r="31" customFormat="false" ht="23.25" hidden="false" customHeight="true" outlineLevel="0" collapsed="false">
      <c r="A31" s="15" t="s">
        <v>12</v>
      </c>
      <c r="B31" s="6" t="s">
        <v>131</v>
      </c>
      <c r="C31" s="16" t="s">
        <v>132</v>
      </c>
      <c r="D31" s="16" t="s">
        <v>133</v>
      </c>
      <c r="E31" s="17" t="s">
        <v>6</v>
      </c>
      <c r="F31" s="6"/>
      <c r="G31" s="16" t="s">
        <v>134</v>
      </c>
    </row>
    <row r="32" customFormat="false" ht="15" hidden="false" customHeight="true" outlineLevel="0" collapsed="false">
      <c r="A32" s="15" t="s">
        <v>12</v>
      </c>
      <c r="B32" s="6" t="s">
        <v>135</v>
      </c>
      <c r="C32" s="16" t="s">
        <v>136</v>
      </c>
      <c r="D32" s="16" t="s">
        <v>137</v>
      </c>
      <c r="E32" s="17" t="s">
        <v>5</v>
      </c>
      <c r="F32" s="6"/>
      <c r="G32" s="16" t="s">
        <v>138</v>
      </c>
    </row>
    <row r="33" customFormat="false" ht="15" hidden="false" customHeight="true" outlineLevel="0" collapsed="false">
      <c r="A33" s="15" t="s">
        <v>12</v>
      </c>
      <c r="B33" s="6" t="s">
        <v>139</v>
      </c>
      <c r="C33" s="16" t="s">
        <v>140</v>
      </c>
      <c r="D33" s="16" t="s">
        <v>141</v>
      </c>
      <c r="E33" s="17" t="s">
        <v>5</v>
      </c>
      <c r="F33" s="6"/>
      <c r="G33" s="16" t="s">
        <v>142</v>
      </c>
    </row>
    <row r="34" customFormat="false" ht="23.25" hidden="false" customHeight="true" outlineLevel="0" collapsed="false">
      <c r="A34" s="15" t="s">
        <v>12</v>
      </c>
      <c r="B34" s="6" t="s">
        <v>143</v>
      </c>
      <c r="C34" s="16" t="s">
        <v>144</v>
      </c>
      <c r="D34" s="16" t="s">
        <v>145</v>
      </c>
      <c r="E34" s="17" t="s">
        <v>5</v>
      </c>
      <c r="F34" s="6"/>
      <c r="G34" s="16" t="s">
        <v>146</v>
      </c>
    </row>
    <row r="35" customFormat="false" ht="15" hidden="false" customHeight="true" outlineLevel="0" collapsed="false">
      <c r="A35" s="15" t="s">
        <v>12</v>
      </c>
      <c r="B35" s="6" t="s">
        <v>147</v>
      </c>
      <c r="C35" s="16" t="s">
        <v>148</v>
      </c>
      <c r="D35" s="16" t="s">
        <v>149</v>
      </c>
      <c r="E35" s="17" t="s">
        <v>5</v>
      </c>
      <c r="F35" s="6"/>
      <c r="G35" s="16" t="s">
        <v>150</v>
      </c>
    </row>
    <row r="36" customFormat="false" ht="15" hidden="false" customHeight="true" outlineLevel="0" collapsed="false">
      <c r="A36" s="15" t="s">
        <v>12</v>
      </c>
      <c r="B36" s="6" t="s">
        <v>151</v>
      </c>
      <c r="C36" s="16" t="s">
        <v>152</v>
      </c>
      <c r="D36" s="16" t="s">
        <v>153</v>
      </c>
      <c r="E36" s="17" t="s">
        <v>5</v>
      </c>
      <c r="F36" s="6"/>
      <c r="G36" s="16" t="s">
        <v>154</v>
      </c>
    </row>
    <row r="37" customFormat="false" ht="23.25" hidden="false" customHeight="true" outlineLevel="0" collapsed="false">
      <c r="A37" s="15" t="s">
        <v>12</v>
      </c>
      <c r="B37" s="6" t="s">
        <v>155</v>
      </c>
      <c r="C37" s="16" t="s">
        <v>156</v>
      </c>
      <c r="D37" s="16" t="s">
        <v>157</v>
      </c>
      <c r="E37" s="17" t="s">
        <v>6</v>
      </c>
      <c r="F37" s="6"/>
      <c r="G37" s="16" t="s">
        <v>158</v>
      </c>
    </row>
    <row r="38" customFormat="false" ht="15" hidden="false" customHeight="true" outlineLevel="0" collapsed="false">
      <c r="A38" s="9" t="s">
        <v>13</v>
      </c>
      <c r="B38" s="13" t="s">
        <v>159</v>
      </c>
      <c r="C38" s="14" t="s">
        <v>160</v>
      </c>
      <c r="D38" s="14" t="s">
        <v>161</v>
      </c>
      <c r="E38" s="13" t="s">
        <v>6</v>
      </c>
      <c r="F38" s="13"/>
      <c r="G38" s="14" t="s">
        <v>162</v>
      </c>
    </row>
    <row r="39" customFormat="false" ht="23.25" hidden="false" customHeight="true" outlineLevel="0" collapsed="false">
      <c r="A39" s="15" t="s">
        <v>13</v>
      </c>
      <c r="B39" s="6" t="s">
        <v>163</v>
      </c>
      <c r="C39" s="16" t="s">
        <v>164</v>
      </c>
      <c r="D39" s="16" t="s">
        <v>165</v>
      </c>
      <c r="E39" s="17" t="s">
        <v>6</v>
      </c>
      <c r="F39" s="6"/>
      <c r="G39" s="16"/>
    </row>
    <row r="40" customFormat="false" ht="23.25" hidden="false" customHeight="true" outlineLevel="0" collapsed="false">
      <c r="A40" s="15" t="s">
        <v>13</v>
      </c>
      <c r="B40" s="6" t="s">
        <v>166</v>
      </c>
      <c r="C40" s="16" t="s">
        <v>167</v>
      </c>
      <c r="D40" s="16" t="s">
        <v>168</v>
      </c>
      <c r="E40" s="17" t="s">
        <v>6</v>
      </c>
      <c r="F40" s="6"/>
      <c r="G40" s="16" t="s">
        <v>169</v>
      </c>
    </row>
    <row r="41" customFormat="false" ht="23.25" hidden="false" customHeight="true" outlineLevel="0" collapsed="false">
      <c r="A41" s="15" t="s">
        <v>13</v>
      </c>
      <c r="B41" s="6" t="s">
        <v>170</v>
      </c>
      <c r="C41" s="16" t="s">
        <v>171</v>
      </c>
      <c r="D41" s="16" t="s">
        <v>172</v>
      </c>
      <c r="E41" s="17" t="s">
        <v>6</v>
      </c>
      <c r="F41" s="6"/>
      <c r="G41" s="16" t="s">
        <v>173</v>
      </c>
    </row>
    <row r="42" customFormat="false" ht="15" hidden="false" customHeight="true" outlineLevel="0" collapsed="false">
      <c r="A42" s="15" t="s">
        <v>13</v>
      </c>
      <c r="B42" s="6" t="s">
        <v>174</v>
      </c>
      <c r="C42" s="16" t="s">
        <v>175</v>
      </c>
      <c r="D42" s="16" t="s">
        <v>176</v>
      </c>
      <c r="E42" s="17" t="s">
        <v>6</v>
      </c>
      <c r="F42" s="6"/>
      <c r="G42" s="16"/>
    </row>
    <row r="43" customFormat="false" ht="15" hidden="false" customHeight="true" outlineLevel="0" collapsed="false">
      <c r="A43" s="15" t="s">
        <v>13</v>
      </c>
      <c r="B43" s="6" t="s">
        <v>177</v>
      </c>
      <c r="C43" s="16" t="s">
        <v>178</v>
      </c>
      <c r="D43" s="16" t="s">
        <v>179</v>
      </c>
      <c r="E43" s="17" t="s">
        <v>6</v>
      </c>
      <c r="F43" s="6"/>
      <c r="G43" s="16"/>
    </row>
    <row r="44" customFormat="false" ht="15" hidden="false" customHeight="true" outlineLevel="0" collapsed="false">
      <c r="A44" s="15" t="s">
        <v>13</v>
      </c>
      <c r="B44" s="6" t="s">
        <v>180</v>
      </c>
      <c r="C44" s="16" t="s">
        <v>181</v>
      </c>
      <c r="D44" s="16" t="s">
        <v>182</v>
      </c>
      <c r="E44" s="17" t="s">
        <v>6</v>
      </c>
      <c r="F44" s="6"/>
      <c r="G44" s="16"/>
    </row>
    <row r="45" customFormat="false" ht="23.85" hidden="false" customHeight="false" outlineLevel="0" collapsed="false">
      <c r="A45" s="18" t="s">
        <v>9</v>
      </c>
      <c r="B45" s="19" t="s">
        <v>183</v>
      </c>
      <c r="C45" s="14" t="s">
        <v>184</v>
      </c>
      <c r="D45" s="14" t="s">
        <v>185</v>
      </c>
      <c r="E45" s="19" t="s">
        <v>5</v>
      </c>
      <c r="F45" s="19" t="s">
        <v>28</v>
      </c>
      <c r="G45" s="14" t="s">
        <v>186</v>
      </c>
    </row>
    <row r="46" customFormat="false" ht="23.85" hidden="false" customHeight="false" outlineLevel="0" collapsed="false">
      <c r="A46" s="18" t="s">
        <v>10</v>
      </c>
      <c r="B46" s="19" t="s">
        <v>187</v>
      </c>
      <c r="C46" s="14" t="s">
        <v>188</v>
      </c>
      <c r="D46" s="14" t="s">
        <v>189</v>
      </c>
      <c r="E46" s="19" t="s">
        <v>4</v>
      </c>
      <c r="F46" s="19" t="s">
        <v>37</v>
      </c>
      <c r="G46" s="14" t="s">
        <v>190</v>
      </c>
    </row>
    <row r="47" customFormat="false" ht="23.85" hidden="false" customHeight="false" outlineLevel="0" collapsed="false">
      <c r="A47" s="18" t="s">
        <v>10</v>
      </c>
      <c r="B47" s="19" t="s">
        <v>191</v>
      </c>
      <c r="C47" s="14" t="s">
        <v>192</v>
      </c>
      <c r="D47" s="14" t="s">
        <v>193</v>
      </c>
      <c r="E47" s="19" t="s">
        <v>4</v>
      </c>
      <c r="F47" s="19" t="s">
        <v>37</v>
      </c>
      <c r="G47" s="14" t="s">
        <v>194</v>
      </c>
    </row>
    <row r="48" customFormat="false" ht="23.85" hidden="false" customHeight="false" outlineLevel="0" collapsed="false">
      <c r="A48" s="18" t="s">
        <v>10</v>
      </c>
      <c r="B48" s="19" t="s">
        <v>195</v>
      </c>
      <c r="C48" s="14" t="s">
        <v>196</v>
      </c>
      <c r="D48" s="14" t="s">
        <v>197</v>
      </c>
      <c r="E48" s="19" t="s">
        <v>4</v>
      </c>
      <c r="F48" s="19" t="s">
        <v>37</v>
      </c>
      <c r="G48" s="14" t="s">
        <v>198</v>
      </c>
    </row>
    <row r="49" customFormat="false" ht="15" hidden="false" customHeight="false" outlineLevel="0" collapsed="false">
      <c r="A49" s="18" t="s">
        <v>10</v>
      </c>
      <c r="B49" s="19" t="s">
        <v>199</v>
      </c>
      <c r="C49" s="14" t="s">
        <v>200</v>
      </c>
      <c r="D49" s="14" t="s">
        <v>201</v>
      </c>
      <c r="E49" s="19" t="s">
        <v>6</v>
      </c>
      <c r="F49" s="19" t="s">
        <v>28</v>
      </c>
      <c r="G49" s="14" t="s">
        <v>202</v>
      </c>
    </row>
    <row r="50" customFormat="false" ht="23.85" hidden="false" customHeight="false" outlineLevel="0" collapsed="false">
      <c r="A50" s="18" t="s">
        <v>11</v>
      </c>
      <c r="B50" s="19" t="s">
        <v>203</v>
      </c>
      <c r="C50" s="14" t="s">
        <v>204</v>
      </c>
      <c r="D50" s="14" t="s">
        <v>205</v>
      </c>
      <c r="E50" s="19" t="s">
        <v>5</v>
      </c>
      <c r="F50" s="19" t="s">
        <v>37</v>
      </c>
      <c r="G50" s="14" t="s">
        <v>206</v>
      </c>
    </row>
    <row r="51" customFormat="false" ht="15" hidden="false" customHeight="false" outlineLevel="0" collapsed="false">
      <c r="A51" s="18" t="s">
        <v>12</v>
      </c>
      <c r="B51" s="19" t="s">
        <v>207</v>
      </c>
      <c r="C51" s="14" t="s">
        <v>208</v>
      </c>
      <c r="D51" s="14" t="s">
        <v>209</v>
      </c>
      <c r="E51" s="19" t="s">
        <v>5</v>
      </c>
      <c r="F51" s="19" t="s">
        <v>37</v>
      </c>
      <c r="G51" s="14" t="s">
        <v>210</v>
      </c>
    </row>
    <row r="52" customFormat="false" ht="15" hidden="false" customHeight="false" outlineLevel="0" collapsed="false">
      <c r="A52" s="18" t="s">
        <v>12</v>
      </c>
      <c r="B52" s="19" t="s">
        <v>211</v>
      </c>
      <c r="C52" s="14" t="s">
        <v>212</v>
      </c>
      <c r="D52" s="14" t="s">
        <v>213</v>
      </c>
      <c r="E52" s="19" t="s">
        <v>5</v>
      </c>
      <c r="F52" s="19" t="s">
        <v>37</v>
      </c>
      <c r="G52" s="14" t="s">
        <v>210</v>
      </c>
    </row>
    <row r="53" customFormat="false" ht="23.85" hidden="false" customHeight="false" outlineLevel="0" collapsed="false">
      <c r="A53" s="18" t="s">
        <v>13</v>
      </c>
      <c r="B53" s="19" t="s">
        <v>214</v>
      </c>
      <c r="C53" s="14" t="s">
        <v>215</v>
      </c>
      <c r="D53" s="14" t="s">
        <v>216</v>
      </c>
      <c r="E53" s="19" t="s">
        <v>6</v>
      </c>
      <c r="F53" s="19" t="s">
        <v>28</v>
      </c>
      <c r="G53" s="14" t="s">
        <v>217</v>
      </c>
    </row>
    <row r="54" customFormat="false" ht="23.85" hidden="false" customHeight="false" outlineLevel="0" collapsed="false">
      <c r="A54" s="18" t="s">
        <v>13</v>
      </c>
      <c r="B54" s="19" t="s">
        <v>218</v>
      </c>
      <c r="C54" s="14" t="s">
        <v>219</v>
      </c>
      <c r="D54" s="14" t="s">
        <v>220</v>
      </c>
      <c r="E54" s="19" t="s">
        <v>6</v>
      </c>
      <c r="F54" s="19" t="s">
        <v>28</v>
      </c>
      <c r="G54" s="14" t="s">
        <v>221</v>
      </c>
    </row>
    <row r="55" customFormat="false" ht="23.85" hidden="false" customHeight="false" outlineLevel="0" collapsed="false">
      <c r="A55" s="18" t="s">
        <v>13</v>
      </c>
      <c r="B55" s="19" t="s">
        <v>222</v>
      </c>
      <c r="C55" s="14" t="s">
        <v>223</v>
      </c>
      <c r="D55" s="14" t="s">
        <v>224</v>
      </c>
      <c r="E55" s="19" t="s">
        <v>6</v>
      </c>
      <c r="F55" s="19" t="s">
        <v>28</v>
      </c>
      <c r="G55" s="14" t="s">
        <v>225</v>
      </c>
    </row>
    <row r="56" customFormat="false" ht="23.85" hidden="false" customHeight="false" outlineLevel="0" collapsed="false">
      <c r="A56" s="18" t="s">
        <v>13</v>
      </c>
      <c r="B56" s="19" t="s">
        <v>226</v>
      </c>
      <c r="C56" s="14" t="s">
        <v>227</v>
      </c>
      <c r="D56" s="14" t="s">
        <v>228</v>
      </c>
      <c r="E56" s="19" t="s">
        <v>6</v>
      </c>
      <c r="F56" s="19" t="s">
        <v>28</v>
      </c>
      <c r="G56" s="14" t="s">
        <v>229</v>
      </c>
    </row>
  </sheetData>
  <autoFilter ref="A4:G44"/>
  <conditionalFormatting sqref="E5:E44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"In Progress"</formula>
    </cfRule>
    <cfRule type="cellIs" priority="4" operator="equal" aboveAverage="0" equalAverage="0" bottom="0" percent="0" rank="0" text="" dxfId="10">
      <formula>"Blocked"</formula>
    </cfRule>
  </conditionalFormatting>
  <dataValidations count="1">
    <dataValidation allowBlank="true" errorStyle="stop" operator="between" showDropDown="false" showErrorMessage="false" showInputMessage="false" sqref="E5:E44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56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56"/>
  </cols>
  <sheetData>
    <row r="1" customFormat="false" ht="17.25" hidden="false" customHeight="true" outlineLevel="0" collapsed="false">
      <c r="A1" s="2" t="s">
        <v>230</v>
      </c>
    </row>
    <row r="3" customFormat="false" ht="15" hidden="false" customHeight="true" outlineLevel="0" collapsed="false">
      <c r="A3" s="4" t="s">
        <v>19</v>
      </c>
      <c r="B3" s="4" t="s">
        <v>20</v>
      </c>
      <c r="C3" s="4" t="s">
        <v>231</v>
      </c>
      <c r="D3" s="4" t="s">
        <v>232</v>
      </c>
      <c r="E3" s="4" t="s">
        <v>233</v>
      </c>
      <c r="F3" s="4" t="s">
        <v>22</v>
      </c>
      <c r="G3" s="4" t="s">
        <v>24</v>
      </c>
    </row>
    <row r="4" customFormat="false" ht="15" hidden="false" customHeight="true" outlineLevel="0" collapsed="false">
      <c r="A4" s="6" t="s">
        <v>234</v>
      </c>
      <c r="B4" s="6" t="s">
        <v>25</v>
      </c>
      <c r="C4" s="16" t="s">
        <v>235</v>
      </c>
      <c r="D4" s="16" t="s">
        <v>236</v>
      </c>
      <c r="E4" s="17" t="s">
        <v>237</v>
      </c>
      <c r="F4" s="17" t="s">
        <v>238</v>
      </c>
      <c r="G4" s="16" t="s">
        <v>239</v>
      </c>
    </row>
    <row r="5" customFormat="false" ht="15" hidden="false" customHeight="true" outlineLevel="0" collapsed="false">
      <c r="A5" s="6" t="s">
        <v>240</v>
      </c>
      <c r="B5" s="6" t="s">
        <v>25</v>
      </c>
      <c r="C5" s="16" t="s">
        <v>241</v>
      </c>
      <c r="D5" s="16" t="s">
        <v>242</v>
      </c>
      <c r="E5" s="17" t="s">
        <v>237</v>
      </c>
      <c r="F5" s="17" t="s">
        <v>238</v>
      </c>
      <c r="G5" s="16"/>
    </row>
    <row r="6" customFormat="false" ht="15" hidden="false" customHeight="true" outlineLevel="0" collapsed="false">
      <c r="A6" s="6" t="s">
        <v>243</v>
      </c>
      <c r="B6" s="6" t="s">
        <v>25</v>
      </c>
      <c r="C6" s="16" t="s">
        <v>244</v>
      </c>
      <c r="D6" s="16" t="s">
        <v>245</v>
      </c>
      <c r="E6" s="17" t="s">
        <v>246</v>
      </c>
      <c r="F6" s="17" t="s">
        <v>238</v>
      </c>
      <c r="G6" s="16"/>
    </row>
    <row r="7" customFormat="false" ht="15" hidden="false" customHeight="true" outlineLevel="0" collapsed="false">
      <c r="A7" s="6" t="s">
        <v>247</v>
      </c>
      <c r="B7" s="6" t="s">
        <v>25</v>
      </c>
      <c r="C7" s="16" t="s">
        <v>244</v>
      </c>
      <c r="D7" s="16" t="s">
        <v>248</v>
      </c>
      <c r="E7" s="17" t="s">
        <v>249</v>
      </c>
      <c r="F7" s="17" t="s">
        <v>238</v>
      </c>
      <c r="G7" s="16" t="s">
        <v>250</v>
      </c>
    </row>
    <row r="8" customFormat="false" ht="15" hidden="false" customHeight="true" outlineLevel="0" collapsed="false">
      <c r="A8" s="6" t="s">
        <v>251</v>
      </c>
      <c r="B8" s="6" t="s">
        <v>25</v>
      </c>
      <c r="C8" s="16" t="s">
        <v>252</v>
      </c>
      <c r="D8" s="16" t="s">
        <v>253</v>
      </c>
      <c r="E8" s="17" t="s">
        <v>249</v>
      </c>
      <c r="F8" s="17" t="s">
        <v>238</v>
      </c>
      <c r="G8" s="16"/>
    </row>
    <row r="9" customFormat="false" ht="15" hidden="false" customHeight="true" outlineLevel="0" collapsed="false">
      <c r="A9" s="6" t="s">
        <v>254</v>
      </c>
      <c r="B9" s="6" t="s">
        <v>30</v>
      </c>
      <c r="C9" s="16" t="s">
        <v>255</v>
      </c>
      <c r="D9" s="16" t="s">
        <v>256</v>
      </c>
      <c r="E9" s="17" t="s">
        <v>237</v>
      </c>
      <c r="F9" s="17" t="s">
        <v>238</v>
      </c>
      <c r="G9" s="16" t="s">
        <v>257</v>
      </c>
    </row>
    <row r="10" customFormat="false" ht="15" hidden="false" customHeight="true" outlineLevel="0" collapsed="false">
      <c r="A10" s="6" t="s">
        <v>258</v>
      </c>
      <c r="B10" s="6" t="s">
        <v>30</v>
      </c>
      <c r="C10" s="16" t="s">
        <v>259</v>
      </c>
      <c r="D10" s="16" t="s">
        <v>260</v>
      </c>
      <c r="E10" s="17" t="s">
        <v>237</v>
      </c>
      <c r="F10" s="17" t="s">
        <v>238</v>
      </c>
      <c r="G10" s="16" t="s">
        <v>261</v>
      </c>
    </row>
    <row r="11" customFormat="false" ht="15" hidden="false" customHeight="true" outlineLevel="0" collapsed="false">
      <c r="A11" s="6" t="s">
        <v>262</v>
      </c>
      <c r="B11" s="6" t="s">
        <v>30</v>
      </c>
      <c r="C11" s="16" t="s">
        <v>235</v>
      </c>
      <c r="D11" s="16" t="s">
        <v>263</v>
      </c>
      <c r="E11" s="17" t="s">
        <v>237</v>
      </c>
      <c r="F11" s="17" t="s">
        <v>238</v>
      </c>
      <c r="G11" s="16" t="s">
        <v>264</v>
      </c>
    </row>
    <row r="12" customFormat="false" ht="15" hidden="false" customHeight="true" outlineLevel="0" collapsed="false">
      <c r="A12" s="6" t="s">
        <v>265</v>
      </c>
      <c r="B12" s="6" t="s">
        <v>30</v>
      </c>
      <c r="C12" s="16" t="s">
        <v>266</v>
      </c>
      <c r="D12" s="16" t="s">
        <v>267</v>
      </c>
      <c r="E12" s="17" t="s">
        <v>249</v>
      </c>
      <c r="F12" s="17" t="s">
        <v>238</v>
      </c>
      <c r="G12" s="16" t="s">
        <v>268</v>
      </c>
    </row>
    <row r="13" customFormat="false" ht="15" hidden="false" customHeight="true" outlineLevel="0" collapsed="false">
      <c r="A13" s="6" t="s">
        <v>269</v>
      </c>
      <c r="B13" s="6" t="s">
        <v>30</v>
      </c>
      <c r="C13" s="16" t="s">
        <v>270</v>
      </c>
      <c r="D13" s="16" t="s">
        <v>271</v>
      </c>
      <c r="E13" s="17" t="s">
        <v>249</v>
      </c>
      <c r="F13" s="17" t="s">
        <v>238</v>
      </c>
      <c r="G13" s="16" t="s">
        <v>272</v>
      </c>
    </row>
    <row r="14" customFormat="false" ht="23.25" hidden="false" customHeight="true" outlineLevel="0" collapsed="false">
      <c r="A14" s="6" t="s">
        <v>273</v>
      </c>
      <c r="B14" s="6" t="s">
        <v>30</v>
      </c>
      <c r="C14" s="16" t="s">
        <v>274</v>
      </c>
      <c r="D14" s="16" t="s">
        <v>275</v>
      </c>
      <c r="E14" s="17" t="s">
        <v>249</v>
      </c>
      <c r="F14" s="17" t="s">
        <v>238</v>
      </c>
      <c r="G14" s="16" t="s">
        <v>276</v>
      </c>
    </row>
    <row r="15" customFormat="false" ht="23.25" hidden="false" customHeight="true" outlineLevel="0" collapsed="false">
      <c r="A15" s="6" t="s">
        <v>277</v>
      </c>
      <c r="B15" s="6" t="s">
        <v>278</v>
      </c>
      <c r="C15" s="16" t="s">
        <v>279</v>
      </c>
      <c r="D15" s="16" t="s">
        <v>280</v>
      </c>
      <c r="E15" s="17" t="s">
        <v>249</v>
      </c>
      <c r="F15" s="17" t="s">
        <v>238</v>
      </c>
      <c r="G15" s="16" t="s">
        <v>281</v>
      </c>
    </row>
    <row r="16" customFormat="false" ht="15" hidden="false" customHeight="true" outlineLevel="0" collapsed="false">
      <c r="A16" s="6" t="s">
        <v>282</v>
      </c>
      <c r="B16" s="6" t="s">
        <v>34</v>
      </c>
      <c r="C16" s="16" t="s">
        <v>283</v>
      </c>
      <c r="D16" s="16" t="s">
        <v>284</v>
      </c>
      <c r="E16" s="17" t="s">
        <v>237</v>
      </c>
      <c r="F16" s="17" t="s">
        <v>238</v>
      </c>
      <c r="G16" s="16" t="s">
        <v>285</v>
      </c>
    </row>
    <row r="17" customFormat="false" ht="15" hidden="false" customHeight="true" outlineLevel="0" collapsed="false">
      <c r="A17" s="6" t="s">
        <v>286</v>
      </c>
      <c r="B17" s="6" t="s">
        <v>47</v>
      </c>
      <c r="C17" s="16" t="s">
        <v>287</v>
      </c>
      <c r="D17" s="16" t="s">
        <v>288</v>
      </c>
      <c r="E17" s="17" t="s">
        <v>237</v>
      </c>
      <c r="F17" s="17" t="s">
        <v>238</v>
      </c>
      <c r="G17" s="16" t="s">
        <v>289</v>
      </c>
    </row>
    <row r="18" customFormat="false" ht="15" hidden="false" customHeight="true" outlineLevel="0" collapsed="false">
      <c r="A18" s="6" t="s">
        <v>290</v>
      </c>
      <c r="B18" s="6" t="s">
        <v>52</v>
      </c>
      <c r="C18" s="16" t="s">
        <v>291</v>
      </c>
      <c r="D18" s="16" t="s">
        <v>292</v>
      </c>
      <c r="E18" s="17" t="s">
        <v>246</v>
      </c>
      <c r="F18" s="17" t="s">
        <v>293</v>
      </c>
      <c r="G18" s="16" t="s">
        <v>294</v>
      </c>
    </row>
    <row r="19" customFormat="false" ht="15" hidden="false" customHeight="true" outlineLevel="0" collapsed="false">
      <c r="A19" s="6" t="s">
        <v>295</v>
      </c>
      <c r="B19" s="6" t="s">
        <v>278</v>
      </c>
      <c r="C19" s="16" t="s">
        <v>296</v>
      </c>
      <c r="D19" s="16" t="s">
        <v>297</v>
      </c>
      <c r="E19" s="17" t="s">
        <v>246</v>
      </c>
      <c r="F19" s="17" t="s">
        <v>238</v>
      </c>
      <c r="G19" s="16" t="s">
        <v>298</v>
      </c>
    </row>
    <row r="20" customFormat="false" ht="15" hidden="false" customHeight="true" outlineLevel="0" collapsed="false">
      <c r="A20" s="6" t="s">
        <v>299</v>
      </c>
      <c r="B20" s="6" t="s">
        <v>30</v>
      </c>
      <c r="C20" s="16" t="s">
        <v>300</v>
      </c>
      <c r="D20" s="16" t="s">
        <v>301</v>
      </c>
      <c r="E20" s="17" t="s">
        <v>246</v>
      </c>
      <c r="F20" s="17" t="s">
        <v>238</v>
      </c>
      <c r="G20" s="16" t="s">
        <v>302</v>
      </c>
    </row>
    <row r="21" customFormat="false" ht="15" hidden="false" customHeight="true" outlineLevel="0" collapsed="false">
      <c r="A21" s="6" t="s">
        <v>303</v>
      </c>
      <c r="B21" s="6" t="s">
        <v>278</v>
      </c>
      <c r="C21" s="16" t="s">
        <v>300</v>
      </c>
      <c r="D21" s="16" t="s">
        <v>304</v>
      </c>
      <c r="E21" s="17" t="s">
        <v>249</v>
      </c>
      <c r="F21" s="17" t="s">
        <v>238</v>
      </c>
      <c r="G21" s="16" t="s">
        <v>305</v>
      </c>
    </row>
    <row r="22" customFormat="false" ht="15" hidden="false" customHeight="true" outlineLevel="0" collapsed="false">
      <c r="A22" s="6" t="s">
        <v>306</v>
      </c>
      <c r="B22" s="6" t="s">
        <v>278</v>
      </c>
      <c r="C22" s="16" t="s">
        <v>307</v>
      </c>
      <c r="D22" s="16" t="s">
        <v>308</v>
      </c>
      <c r="E22" s="17" t="s">
        <v>249</v>
      </c>
      <c r="F22" s="17" t="s">
        <v>309</v>
      </c>
      <c r="G22" s="16" t="s">
        <v>310</v>
      </c>
    </row>
    <row r="23" customFormat="false" ht="15" hidden="false" customHeight="true" outlineLevel="0" collapsed="false">
      <c r="A23" s="6" t="s">
        <v>311</v>
      </c>
      <c r="B23" s="6" t="s">
        <v>278</v>
      </c>
      <c r="C23" s="16" t="s">
        <v>312</v>
      </c>
      <c r="D23" s="16" t="s">
        <v>313</v>
      </c>
      <c r="E23" s="17" t="s">
        <v>246</v>
      </c>
      <c r="F23" s="17" t="s">
        <v>238</v>
      </c>
      <c r="G23" s="16" t="s">
        <v>314</v>
      </c>
    </row>
    <row r="24" customFormat="false" ht="23.25" hidden="false" customHeight="true" outlineLevel="0" collapsed="false">
      <c r="A24" s="6" t="s">
        <v>315</v>
      </c>
      <c r="B24" s="6" t="s">
        <v>278</v>
      </c>
      <c r="C24" s="16" t="s">
        <v>316</v>
      </c>
      <c r="D24" s="16" t="s">
        <v>317</v>
      </c>
      <c r="E24" s="6" t="s">
        <v>237</v>
      </c>
      <c r="F24" s="6" t="s">
        <v>238</v>
      </c>
      <c r="G24" s="16" t="s">
        <v>318</v>
      </c>
    </row>
    <row r="25" customFormat="false" ht="23.25" hidden="false" customHeight="true" outlineLevel="0" collapsed="false">
      <c r="A25" s="6" t="s">
        <v>319</v>
      </c>
      <c r="B25" s="6" t="s">
        <v>278</v>
      </c>
      <c r="C25" s="16" t="s">
        <v>320</v>
      </c>
      <c r="D25" s="16" t="s">
        <v>321</v>
      </c>
      <c r="E25" s="6" t="s">
        <v>249</v>
      </c>
      <c r="F25" s="6" t="s">
        <v>238</v>
      </c>
      <c r="G25" s="16" t="s">
        <v>322</v>
      </c>
    </row>
    <row r="26" customFormat="false" ht="23.25" hidden="false" customHeight="true" outlineLevel="0" collapsed="false">
      <c r="A26" s="6" t="s">
        <v>323</v>
      </c>
      <c r="B26" s="6" t="s">
        <v>278</v>
      </c>
      <c r="C26" s="16" t="s">
        <v>324</v>
      </c>
      <c r="D26" s="16" t="s">
        <v>325</v>
      </c>
      <c r="E26" s="6" t="s">
        <v>246</v>
      </c>
      <c r="F26" s="6" t="s">
        <v>238</v>
      </c>
      <c r="G26" s="16" t="s">
        <v>326</v>
      </c>
    </row>
    <row r="27" customFormat="false" ht="23.25" hidden="false" customHeight="true" outlineLevel="0" collapsed="false">
      <c r="A27" s="6" t="s">
        <v>327</v>
      </c>
      <c r="B27" s="6" t="s">
        <v>278</v>
      </c>
      <c r="C27" s="16" t="s">
        <v>328</v>
      </c>
      <c r="D27" s="16" t="s">
        <v>329</v>
      </c>
      <c r="E27" s="6" t="s">
        <v>237</v>
      </c>
      <c r="F27" s="6" t="s">
        <v>238</v>
      </c>
      <c r="G27" s="16" t="s">
        <v>330</v>
      </c>
    </row>
    <row r="28" customFormat="false" ht="23.25" hidden="false" customHeight="true" outlineLevel="0" collapsed="false">
      <c r="A28" s="6" t="s">
        <v>331</v>
      </c>
      <c r="B28" s="6" t="s">
        <v>39</v>
      </c>
      <c r="C28" s="16" t="s">
        <v>241</v>
      </c>
      <c r="D28" s="16" t="s">
        <v>332</v>
      </c>
      <c r="E28" s="6" t="s">
        <v>237</v>
      </c>
      <c r="F28" s="6" t="s">
        <v>238</v>
      </c>
      <c r="G28" s="16" t="s">
        <v>333</v>
      </c>
    </row>
    <row r="29" customFormat="false" ht="23.25" hidden="false" customHeight="true" outlineLevel="0" collapsed="false">
      <c r="A29" s="6" t="s">
        <v>334</v>
      </c>
      <c r="B29" s="6" t="s">
        <v>43</v>
      </c>
      <c r="C29" s="16" t="s">
        <v>244</v>
      </c>
      <c r="D29" s="16" t="s">
        <v>335</v>
      </c>
      <c r="E29" s="6" t="s">
        <v>249</v>
      </c>
      <c r="F29" s="6" t="s">
        <v>238</v>
      </c>
      <c r="G29" s="16" t="s">
        <v>336</v>
      </c>
    </row>
    <row r="30" customFormat="false" ht="23.25" hidden="false" customHeight="true" outlineLevel="0" collapsed="false">
      <c r="A30" s="6" t="s">
        <v>337</v>
      </c>
      <c r="B30" s="6" t="s">
        <v>43</v>
      </c>
      <c r="C30" s="16" t="s">
        <v>255</v>
      </c>
      <c r="D30" s="16" t="s">
        <v>338</v>
      </c>
      <c r="E30" s="6" t="s">
        <v>249</v>
      </c>
      <c r="F30" s="6" t="s">
        <v>238</v>
      </c>
      <c r="G30" s="16" t="s">
        <v>339</v>
      </c>
    </row>
    <row r="31" customFormat="false" ht="45.75" hidden="false" customHeight="true" outlineLevel="0" collapsed="false">
      <c r="A31" s="6" t="s">
        <v>340</v>
      </c>
      <c r="B31" s="6" t="s">
        <v>47</v>
      </c>
      <c r="C31" s="16" t="s">
        <v>341</v>
      </c>
      <c r="D31" s="16" t="s">
        <v>342</v>
      </c>
      <c r="E31" s="6" t="s">
        <v>237</v>
      </c>
      <c r="F31" s="6" t="s">
        <v>238</v>
      </c>
      <c r="G31" s="16" t="s">
        <v>343</v>
      </c>
    </row>
    <row r="32" customFormat="false" ht="23.25" hidden="false" customHeight="true" outlineLevel="0" collapsed="false">
      <c r="A32" s="6" t="s">
        <v>344</v>
      </c>
      <c r="B32" s="6" t="s">
        <v>345</v>
      </c>
      <c r="C32" s="16" t="s">
        <v>300</v>
      </c>
      <c r="D32" s="16" t="s">
        <v>346</v>
      </c>
      <c r="E32" s="6" t="s">
        <v>237</v>
      </c>
      <c r="F32" s="6" t="s">
        <v>238</v>
      </c>
      <c r="G32" s="16" t="s">
        <v>347</v>
      </c>
    </row>
    <row r="33" customFormat="false" ht="23.25" hidden="false" customHeight="true" outlineLevel="0" collapsed="false">
      <c r="A33" s="6" t="s">
        <v>348</v>
      </c>
      <c r="B33" s="6" t="s">
        <v>345</v>
      </c>
      <c r="C33" s="16" t="s">
        <v>349</v>
      </c>
      <c r="D33" s="16" t="s">
        <v>350</v>
      </c>
      <c r="E33" s="6" t="s">
        <v>237</v>
      </c>
      <c r="F33" s="6" t="s">
        <v>238</v>
      </c>
      <c r="G33" s="16" t="s">
        <v>351</v>
      </c>
    </row>
    <row r="34" customFormat="false" ht="23.25" hidden="false" customHeight="true" outlineLevel="0" collapsed="false">
      <c r="A34" s="6" t="s">
        <v>352</v>
      </c>
      <c r="B34" s="6" t="s">
        <v>278</v>
      </c>
      <c r="C34" s="16" t="s">
        <v>353</v>
      </c>
      <c r="D34" s="16" t="s">
        <v>354</v>
      </c>
      <c r="E34" s="6" t="s">
        <v>246</v>
      </c>
      <c r="F34" s="6" t="s">
        <v>309</v>
      </c>
      <c r="G34" s="16" t="s">
        <v>355</v>
      </c>
    </row>
    <row r="35" customFormat="false" ht="34.5" hidden="false" customHeight="true" outlineLevel="0" collapsed="false">
      <c r="A35" s="6" t="s">
        <v>356</v>
      </c>
      <c r="B35" s="6" t="s">
        <v>278</v>
      </c>
      <c r="C35" s="16" t="s">
        <v>357</v>
      </c>
      <c r="D35" s="16" t="s">
        <v>358</v>
      </c>
      <c r="E35" s="6" t="s">
        <v>246</v>
      </c>
      <c r="F35" s="6" t="s">
        <v>309</v>
      </c>
      <c r="G35" s="16" t="s">
        <v>359</v>
      </c>
    </row>
    <row r="36" customFormat="false" ht="15" hidden="false" customHeight="true" outlineLevel="0" collapsed="false">
      <c r="A36" s="6" t="s">
        <v>360</v>
      </c>
      <c r="B36" s="6" t="s">
        <v>278</v>
      </c>
      <c r="C36" s="16" t="s">
        <v>357</v>
      </c>
      <c r="D36" s="16" t="s">
        <v>361</v>
      </c>
      <c r="E36" s="6" t="s">
        <v>246</v>
      </c>
      <c r="F36" s="6" t="s">
        <v>238</v>
      </c>
      <c r="G36" s="16" t="s">
        <v>362</v>
      </c>
    </row>
    <row r="37" customFormat="false" ht="35.05" hidden="false" customHeight="false" outlineLevel="0" collapsed="false">
      <c r="A37" s="20" t="s">
        <v>363</v>
      </c>
      <c r="B37" s="20" t="s">
        <v>56</v>
      </c>
      <c r="C37" s="20" t="s">
        <v>364</v>
      </c>
      <c r="D37" s="16" t="s">
        <v>365</v>
      </c>
      <c r="E37" s="20" t="s">
        <v>249</v>
      </c>
      <c r="F37" s="20" t="s">
        <v>238</v>
      </c>
      <c r="G37" s="16" t="s">
        <v>366</v>
      </c>
    </row>
    <row r="38" customFormat="false" ht="35.05" hidden="false" customHeight="false" outlineLevel="0" collapsed="false">
      <c r="A38" s="20" t="s">
        <v>367</v>
      </c>
      <c r="B38" s="20" t="s">
        <v>368</v>
      </c>
      <c r="C38" s="20" t="s">
        <v>369</v>
      </c>
      <c r="D38" s="16" t="s">
        <v>370</v>
      </c>
      <c r="E38" s="20" t="s">
        <v>246</v>
      </c>
      <c r="F38" s="20" t="s">
        <v>309</v>
      </c>
      <c r="G38" s="16" t="s">
        <v>371</v>
      </c>
    </row>
    <row r="39" customFormat="false" ht="46.25" hidden="false" customHeight="false" outlineLevel="0" collapsed="false">
      <c r="A39" s="20" t="s">
        <v>372</v>
      </c>
      <c r="B39" s="20" t="s">
        <v>52</v>
      </c>
      <c r="C39" s="20" t="s">
        <v>252</v>
      </c>
      <c r="D39" s="16" t="s">
        <v>373</v>
      </c>
      <c r="E39" s="20" t="s">
        <v>237</v>
      </c>
      <c r="F39" s="20" t="s">
        <v>238</v>
      </c>
      <c r="G39" s="16" t="s">
        <v>374</v>
      </c>
    </row>
    <row r="40" customFormat="false" ht="23.85" hidden="false" customHeight="false" outlineLevel="0" collapsed="false">
      <c r="A40" s="20" t="s">
        <v>375</v>
      </c>
      <c r="B40" s="20" t="s">
        <v>306</v>
      </c>
      <c r="C40" s="20" t="s">
        <v>376</v>
      </c>
      <c r="D40" s="16" t="s">
        <v>377</v>
      </c>
      <c r="E40" s="20" t="s">
        <v>249</v>
      </c>
      <c r="F40" s="20" t="s">
        <v>309</v>
      </c>
      <c r="G40" s="16" t="s">
        <v>378</v>
      </c>
    </row>
    <row r="41" customFormat="false" ht="35.05" hidden="false" customHeight="false" outlineLevel="0" collapsed="false">
      <c r="A41" s="20" t="s">
        <v>379</v>
      </c>
      <c r="B41" s="20" t="s">
        <v>76</v>
      </c>
      <c r="C41" s="20" t="s">
        <v>380</v>
      </c>
      <c r="D41" s="16" t="s">
        <v>381</v>
      </c>
      <c r="E41" s="20" t="s">
        <v>249</v>
      </c>
      <c r="F41" s="20" t="s">
        <v>238</v>
      </c>
      <c r="G41" s="16" t="s">
        <v>382</v>
      </c>
    </row>
    <row r="42" customFormat="false" ht="35.05" hidden="false" customHeight="false" outlineLevel="0" collapsed="false">
      <c r="A42" s="20" t="s">
        <v>383</v>
      </c>
      <c r="B42" s="20" t="s">
        <v>76</v>
      </c>
      <c r="C42" s="20" t="s">
        <v>384</v>
      </c>
      <c r="D42" s="16" t="s">
        <v>385</v>
      </c>
      <c r="E42" s="20" t="s">
        <v>246</v>
      </c>
      <c r="F42" s="20" t="s">
        <v>238</v>
      </c>
      <c r="G42" s="16" t="s">
        <v>386</v>
      </c>
    </row>
    <row r="43" customFormat="false" ht="23.85" hidden="false" customHeight="false" outlineLevel="0" collapsed="false">
      <c r="A43" s="20" t="s">
        <v>387</v>
      </c>
      <c r="B43" s="20" t="s">
        <v>84</v>
      </c>
      <c r="C43" s="20" t="s">
        <v>388</v>
      </c>
      <c r="D43" s="16" t="s">
        <v>389</v>
      </c>
      <c r="E43" s="20" t="s">
        <v>246</v>
      </c>
      <c r="F43" s="20" t="s">
        <v>238</v>
      </c>
      <c r="G43" s="16" t="s">
        <v>390</v>
      </c>
    </row>
    <row r="44" customFormat="false" ht="23.85" hidden="false" customHeight="false" outlineLevel="0" collapsed="false">
      <c r="A44" s="20" t="s">
        <v>391</v>
      </c>
      <c r="B44" s="20" t="s">
        <v>76</v>
      </c>
      <c r="C44" s="20" t="s">
        <v>392</v>
      </c>
      <c r="D44" s="16" t="s">
        <v>393</v>
      </c>
      <c r="E44" s="20" t="s">
        <v>246</v>
      </c>
      <c r="F44" s="20" t="s">
        <v>238</v>
      </c>
      <c r="G44" s="16" t="s">
        <v>394</v>
      </c>
    </row>
    <row r="45" customFormat="false" ht="35.05" hidden="false" customHeight="false" outlineLevel="0" collapsed="false">
      <c r="A45" s="20" t="s">
        <v>395</v>
      </c>
      <c r="B45" s="20" t="s">
        <v>183</v>
      </c>
      <c r="C45" s="20" t="s">
        <v>396</v>
      </c>
      <c r="D45" s="16" t="s">
        <v>397</v>
      </c>
      <c r="E45" s="20" t="s">
        <v>237</v>
      </c>
      <c r="F45" s="20" t="s">
        <v>238</v>
      </c>
      <c r="G45" s="16" t="s">
        <v>398</v>
      </c>
    </row>
    <row r="46" customFormat="false" ht="23.85" hidden="false" customHeight="false" outlineLevel="0" collapsed="false">
      <c r="A46" s="20" t="s">
        <v>399</v>
      </c>
      <c r="B46" s="20" t="s">
        <v>80</v>
      </c>
      <c r="C46" s="20" t="s">
        <v>400</v>
      </c>
      <c r="D46" s="16" t="s">
        <v>401</v>
      </c>
      <c r="E46" s="20" t="s">
        <v>237</v>
      </c>
      <c r="F46" s="20" t="s">
        <v>309</v>
      </c>
      <c r="G46" s="16" t="s">
        <v>402</v>
      </c>
    </row>
    <row r="47" customFormat="false" ht="23.85" hidden="false" customHeight="false" outlineLevel="0" collapsed="false">
      <c r="A47" s="20" t="s">
        <v>403</v>
      </c>
      <c r="B47" s="20" t="s">
        <v>183</v>
      </c>
      <c r="C47" s="20" t="s">
        <v>404</v>
      </c>
      <c r="D47" s="16" t="s">
        <v>405</v>
      </c>
      <c r="E47" s="20" t="s">
        <v>249</v>
      </c>
      <c r="F47" s="20" t="s">
        <v>309</v>
      </c>
      <c r="G47" s="16" t="s">
        <v>406</v>
      </c>
    </row>
    <row r="48" customFormat="false" ht="35.05" hidden="false" customHeight="false" outlineLevel="0" collapsed="false">
      <c r="A48" s="20" t="s">
        <v>407</v>
      </c>
      <c r="B48" s="20" t="s">
        <v>183</v>
      </c>
      <c r="C48" s="20" t="s">
        <v>300</v>
      </c>
      <c r="D48" s="16" t="s">
        <v>408</v>
      </c>
      <c r="E48" s="20" t="s">
        <v>249</v>
      </c>
      <c r="F48" s="20" t="s">
        <v>309</v>
      </c>
      <c r="G48" s="16" t="s">
        <v>409</v>
      </c>
    </row>
    <row r="49" customFormat="false" ht="35.05" hidden="false" customHeight="false" outlineLevel="0" collapsed="false">
      <c r="A49" s="20" t="s">
        <v>410</v>
      </c>
      <c r="B49" s="20" t="s">
        <v>207</v>
      </c>
      <c r="C49" s="20" t="s">
        <v>411</v>
      </c>
      <c r="D49" s="16" t="s">
        <v>412</v>
      </c>
      <c r="E49" s="20" t="s">
        <v>246</v>
      </c>
      <c r="F49" s="20" t="s">
        <v>309</v>
      </c>
      <c r="G49" s="16" t="s">
        <v>413</v>
      </c>
    </row>
  </sheetData>
  <autoFilter ref="A3:G36"/>
  <conditionalFormatting sqref="E4:E23">
    <cfRule type="cellIs" priority="2" operator="equal" aboveAverage="0" equalAverage="0" bottom="0" percent="0" rank="0" text="" dxfId="13">
      <formula>"Critical"</formula>
    </cfRule>
  </conditionalFormatting>
  <conditionalFormatting sqref="F4:F23">
    <cfRule type="cellIs" priority="3" operator="equal" aboveAverage="0" equalAverage="0" bottom="0" percent="0" rank="0" text="" dxfId="8">
      <formula>"Fixed"</formula>
    </cfRule>
    <cfRule type="cellIs" priority="4" operator="equal" aboveAverage="0" equalAverage="0" bottom="0" percent="0" rank="0" text="" dxfId="9">
      <formula>"Open"</formula>
    </cfRule>
  </conditionalFormatting>
  <dataValidations count="1">
    <dataValidation allowBlank="true" errorStyle="stop" operator="between" showDropDown="false" showErrorMessage="false" showInputMessage="false" sqref="F4:F23" type="list">
      <formula1>"Open,In Progress,Fixed,Mitigated,Won't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7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414</v>
      </c>
    </row>
    <row r="2" customFormat="false" ht="15" hidden="false" customHeight="true" outlineLevel="0" collapsed="false">
      <c r="A2" s="3" t="s">
        <v>415</v>
      </c>
    </row>
    <row r="4" customFormat="false" ht="15" hidden="false" customHeight="true" outlineLevel="0" collapsed="false">
      <c r="A4" s="4" t="s">
        <v>19</v>
      </c>
      <c r="B4" s="4" t="s">
        <v>416</v>
      </c>
      <c r="C4" s="4" t="s">
        <v>417</v>
      </c>
      <c r="D4" s="4" t="s">
        <v>418</v>
      </c>
      <c r="E4" s="4" t="s">
        <v>419</v>
      </c>
      <c r="F4" s="4" t="s">
        <v>22</v>
      </c>
    </row>
    <row r="5" customFormat="false" ht="61.5" hidden="false" customHeight="true" outlineLevel="0" collapsed="false">
      <c r="A5" s="6" t="s">
        <v>420</v>
      </c>
      <c r="B5" s="16" t="s">
        <v>421</v>
      </c>
      <c r="C5" s="16" t="s">
        <v>422</v>
      </c>
      <c r="D5" s="16" t="s">
        <v>423</v>
      </c>
      <c r="E5" s="6" t="s">
        <v>424</v>
      </c>
      <c r="F5" s="17" t="s">
        <v>309</v>
      </c>
    </row>
    <row r="6" customFormat="false" ht="61.5" hidden="false" customHeight="true" outlineLevel="0" collapsed="false">
      <c r="A6" s="6" t="s">
        <v>425</v>
      </c>
      <c r="B6" s="16" t="s">
        <v>426</v>
      </c>
      <c r="C6" s="16" t="s">
        <v>427</v>
      </c>
      <c r="D6" s="16" t="s">
        <v>428</v>
      </c>
      <c r="E6" s="6" t="s">
        <v>429</v>
      </c>
      <c r="F6" s="17" t="s">
        <v>430</v>
      </c>
    </row>
    <row r="7" customFormat="false" ht="61.5" hidden="false" customHeight="true" outlineLevel="0" collapsed="false">
      <c r="A7" s="6" t="s">
        <v>431</v>
      </c>
      <c r="B7" s="16" t="s">
        <v>432</v>
      </c>
      <c r="C7" s="16" t="s">
        <v>433</v>
      </c>
      <c r="D7" s="16" t="s">
        <v>434</v>
      </c>
      <c r="E7" s="6" t="s">
        <v>435</v>
      </c>
      <c r="F7" s="17" t="s">
        <v>309</v>
      </c>
    </row>
    <row r="8" customFormat="false" ht="61.5" hidden="false" customHeight="true" outlineLevel="0" collapsed="false">
      <c r="A8" s="6" t="s">
        <v>436</v>
      </c>
      <c r="B8" s="16" t="s">
        <v>437</v>
      </c>
      <c r="C8" s="16" t="s">
        <v>438</v>
      </c>
      <c r="D8" s="16" t="s">
        <v>439</v>
      </c>
      <c r="E8" s="6" t="s">
        <v>440</v>
      </c>
      <c r="F8" s="17" t="s">
        <v>293</v>
      </c>
    </row>
    <row r="9" customFormat="false" ht="61.5" hidden="false" customHeight="true" outlineLevel="0" collapsed="false">
      <c r="A9" s="6" t="s">
        <v>441</v>
      </c>
      <c r="B9" s="16" t="s">
        <v>442</v>
      </c>
      <c r="C9" s="16" t="s">
        <v>443</v>
      </c>
      <c r="D9" s="16" t="s">
        <v>444</v>
      </c>
      <c r="E9" s="6" t="s">
        <v>445</v>
      </c>
      <c r="F9" s="17" t="s">
        <v>309</v>
      </c>
    </row>
    <row r="10" customFormat="false" ht="61.5" hidden="false" customHeight="true" outlineLevel="0" collapsed="false">
      <c r="A10" s="6" t="s">
        <v>446</v>
      </c>
      <c r="B10" s="16" t="s">
        <v>442</v>
      </c>
      <c r="C10" s="16" t="s">
        <v>447</v>
      </c>
      <c r="D10" s="16" t="s">
        <v>448</v>
      </c>
      <c r="E10" s="6" t="s">
        <v>449</v>
      </c>
      <c r="F10" s="17" t="s">
        <v>309</v>
      </c>
    </row>
    <row r="11" customFormat="false" ht="61.5" hidden="false" customHeight="true" outlineLevel="0" collapsed="false">
      <c r="A11" s="6" t="s">
        <v>450</v>
      </c>
      <c r="B11" s="16" t="s">
        <v>451</v>
      </c>
      <c r="C11" s="16" t="s">
        <v>452</v>
      </c>
      <c r="D11" s="16" t="s">
        <v>453</v>
      </c>
      <c r="E11" s="6" t="s">
        <v>454</v>
      </c>
      <c r="F11" s="17" t="s">
        <v>430</v>
      </c>
    </row>
    <row r="12" customFormat="false" ht="61.5" hidden="false" customHeight="true" outlineLevel="0" collapsed="false">
      <c r="A12" s="6" t="s">
        <v>455</v>
      </c>
      <c r="B12" s="16" t="s">
        <v>456</v>
      </c>
      <c r="C12" s="16" t="s">
        <v>457</v>
      </c>
      <c r="D12" s="16" t="s">
        <v>458</v>
      </c>
      <c r="E12" s="6" t="s">
        <v>459</v>
      </c>
      <c r="F12" s="17" t="s">
        <v>309</v>
      </c>
    </row>
    <row r="13" customFormat="false" ht="35.05" hidden="false" customHeight="false" outlineLevel="0" collapsed="false">
      <c r="A13" s="20" t="s">
        <v>460</v>
      </c>
      <c r="B13" s="20" t="s">
        <v>451</v>
      </c>
      <c r="C13" s="16" t="s">
        <v>461</v>
      </c>
      <c r="D13" s="16" t="s">
        <v>462</v>
      </c>
      <c r="E13" s="20" t="s">
        <v>463</v>
      </c>
      <c r="F13" s="20" t="s">
        <v>309</v>
      </c>
    </row>
    <row r="14" customFormat="false" ht="23.85" hidden="false" customHeight="false" outlineLevel="0" collapsed="false">
      <c r="A14" s="20" t="s">
        <v>464</v>
      </c>
      <c r="B14" s="20" t="s">
        <v>456</v>
      </c>
      <c r="C14" s="16" t="s">
        <v>465</v>
      </c>
      <c r="D14" s="16" t="s">
        <v>466</v>
      </c>
      <c r="E14" s="20" t="s">
        <v>467</v>
      </c>
      <c r="F14" s="20" t="s">
        <v>309</v>
      </c>
    </row>
    <row r="15" customFormat="false" ht="23.85" hidden="false" customHeight="false" outlineLevel="0" collapsed="false">
      <c r="A15" s="20" t="s">
        <v>468</v>
      </c>
      <c r="B15" s="20" t="s">
        <v>469</v>
      </c>
      <c r="C15" s="16" t="s">
        <v>470</v>
      </c>
      <c r="D15" s="16" t="s">
        <v>471</v>
      </c>
      <c r="E15" s="20" t="s">
        <v>472</v>
      </c>
      <c r="F15" s="20" t="s">
        <v>309</v>
      </c>
    </row>
    <row r="16" customFormat="false" ht="35.05" hidden="false" customHeight="false" outlineLevel="0" collapsed="false">
      <c r="A16" s="20" t="s">
        <v>473</v>
      </c>
      <c r="B16" s="20" t="s">
        <v>421</v>
      </c>
      <c r="C16" s="16" t="s">
        <v>474</v>
      </c>
      <c r="D16" s="16" t="s">
        <v>475</v>
      </c>
      <c r="E16" s="20" t="s">
        <v>476</v>
      </c>
      <c r="F16" s="20" t="s">
        <v>309</v>
      </c>
    </row>
    <row r="17" customFormat="false" ht="35.05" hidden="false" customHeight="false" outlineLevel="0" collapsed="false">
      <c r="A17" s="20" t="s">
        <v>477</v>
      </c>
      <c r="B17" s="20" t="s">
        <v>442</v>
      </c>
      <c r="C17" s="16" t="s">
        <v>478</v>
      </c>
      <c r="D17" s="16" t="s">
        <v>479</v>
      </c>
      <c r="E17" s="20" t="s">
        <v>480</v>
      </c>
      <c r="F17" s="20" t="s">
        <v>309</v>
      </c>
    </row>
  </sheetData>
  <dataValidations count="1">
    <dataValidation allowBlank="true" errorStyle="stop" operator="between" showDropDown="false" showErrorMessage="false" showInputMessage="false" sqref="F5:F12" type="list">
      <formula1>"Open,Addressed,Verified"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2026-08-13T13:18:08Z</dcterms:created>
  <dc:creator>openpyxl</dc:creator>
  <dc:description/>
  <dc:language>en-US</dc:language>
  <cp:lastModifiedBy/>
  <dcterms:modified xsi:type="dcterms:W3CDTF">2026-08-20T09:50:39Z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